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arlou\Desktop\billing automation\ltbap\templates\"/>
    </mc:Choice>
  </mc:AlternateContent>
  <xr:revisionPtr revIDLastSave="0" documentId="8_{20A7FFF9-1ED4-4938-94BC-CC9A5F93AC2B}" xr6:coauthVersionLast="47" xr6:coauthVersionMax="47" xr10:uidLastSave="{00000000-0000-0000-0000-000000000000}"/>
  <bookViews>
    <workbookView xWindow="-108" yWindow="-108" windowWidth="23256" windowHeight="12456" xr2:uid="{934A3658-C217-4FE1-8D98-561C7064F48D}"/>
  </bookViews>
  <sheets>
    <sheet name="1ST&amp;2NDTRIP" sheetId="1" r:id="rId1"/>
  </sheets>
  <externalReferences>
    <externalReference r:id="rId2"/>
  </externalReferences>
  <definedNames>
    <definedName name="_xlnm.Print_Area" localSheetId="0">'1ST&amp;2NDTRIP'!$A$1:$O$51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" l="1"/>
  <c r="V16" i="1" s="1"/>
  <c r="J5" i="1"/>
  <c r="W16" i="1" s="1"/>
  <c r="Q16" i="1"/>
  <c r="R16" i="1"/>
  <c r="T16" i="1"/>
  <c r="Y16" i="1"/>
  <c r="Q17" i="1"/>
  <c r="R17" i="1"/>
  <c r="T17" i="1"/>
  <c r="Y17" i="1"/>
  <c r="G24" i="1"/>
  <c r="N28" i="1"/>
  <c r="C31" i="1"/>
  <c r="V17" i="1" s="1"/>
  <c r="J31" i="1"/>
  <c r="W17" i="1" s="1"/>
  <c r="G50" i="1"/>
</calcChain>
</file>

<file path=xl/sharedStrings.xml><?xml version="1.0" encoding="utf-8"?>
<sst xmlns="http://schemas.openxmlformats.org/spreadsheetml/2006/main" count="162" uniqueCount="50">
  <si>
    <t>RECEIVED BY:</t>
  </si>
  <si>
    <t>DATE:</t>
  </si>
  <si>
    <t>RECEIVED GOODS IN GOOD ORDER/CONDITION</t>
  </si>
  <si>
    <t>DRIVERS NAME AND SIGNATURE:</t>
  </si>
  <si>
    <t>TOTAL P:</t>
  </si>
  <si>
    <t xml:space="preserve"> </t>
  </si>
  <si>
    <t>BLKS</t>
  </si>
  <si>
    <t>RM TRANSFER</t>
  </si>
  <si>
    <t>OTHER CHARGES</t>
  </si>
  <si>
    <t>RATES</t>
  </si>
  <si>
    <t>SEAL NO:</t>
  </si>
  <si>
    <t>CHARGES</t>
  </si>
  <si>
    <t>TRIP TICKET NO.:</t>
  </si>
  <si>
    <t>V4634/V4573</t>
  </si>
  <si>
    <t>STA Ref No.:</t>
  </si>
  <si>
    <t>VFI</t>
  </si>
  <si>
    <t>TO:</t>
  </si>
  <si>
    <t>BB5</t>
  </si>
  <si>
    <t xml:space="preserve">FROM: </t>
  </si>
  <si>
    <t>WAVE NO:</t>
  </si>
  <si>
    <t>NUMBER OF TRIPS:</t>
  </si>
  <si>
    <t>COMPOSTELA</t>
  </si>
  <si>
    <t>ADDRESS:</t>
  </si>
  <si>
    <t>VFI PLANT</t>
  </si>
  <si>
    <t>CONSIGNEE:</t>
  </si>
  <si>
    <t>MANDAUE</t>
  </si>
  <si>
    <t>BIG BLUE COLD STORAGE</t>
  </si>
  <si>
    <t>SHIPPER:</t>
  </si>
  <si>
    <t>VACANT</t>
  </si>
  <si>
    <t>REFER VAN 7T</t>
  </si>
  <si>
    <t>TRUCK TYPE:</t>
  </si>
  <si>
    <t>HELPER:</t>
  </si>
  <si>
    <t>JAR - 8662</t>
  </si>
  <si>
    <t>TRUCK PLATE NO.:</t>
  </si>
  <si>
    <t>DRIVER:</t>
  </si>
  <si>
    <t>TEL: 423-6184</t>
  </si>
  <si>
    <t>No.</t>
  </si>
  <si>
    <t>PUROK 4 GUMAMELA, TAYUD, CONSOLACION, CEBU 6001</t>
  </si>
  <si>
    <t>WAY BILL</t>
  </si>
  <si>
    <t xml:space="preserve">                                 LORKWEN TRUCKING SERVICES</t>
  </si>
  <si>
    <t>JSI TAYUD</t>
  </si>
  <si>
    <t>LILOAN</t>
  </si>
  <si>
    <t>JENTEC STORAGE INC</t>
  </si>
  <si>
    <t>JSI LILOAN</t>
  </si>
  <si>
    <t>TRANSFER</t>
  </si>
  <si>
    <t xml:space="preserve">   </t>
  </si>
  <si>
    <t>JSI MAIN</t>
  </si>
  <si>
    <t>V4563/LFN1487</t>
  </si>
  <si>
    <t>5G</t>
  </si>
  <si>
    <t>5G LOGISTICS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</si>
</sst>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13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6"/>
      <color theme="1"/>
      <name val="Calibri"/>
      <family val="2"/>
    </font>
    <font>
      <b/>
      <sz val="16"/>
      <color theme="1"/>
      <name val="Calibri"/>
      <family val="2"/>
    </font>
    <font>
      <b/>
      <sz val="20"/>
      <color theme="1"/>
      <name val="Calibri"/>
      <family val="2"/>
    </font>
    <font>
      <b/>
      <sz val="18"/>
      <color theme="1"/>
      <name val="Calibri"/>
      <family val="2"/>
    </font>
    <font>
      <sz val="12"/>
      <color theme="1"/>
      <name val="Calibri"/>
      <family val="2"/>
      <scheme val="minor"/>
    </font>
    <font>
      <b/>
      <sz val="20"/>
      <color rgb="FFFF0000"/>
      <name val="Times New Roman"/>
      <family val="1"/>
    </font>
    <font>
      <b/>
      <sz val="20"/>
      <color theme="1"/>
      <name val="Arial"/>
      <family val="2"/>
    </font>
    <font>
      <i/>
      <sz val="20"/>
      <color theme="1"/>
      <name val="Calibri"/>
      <family val="2"/>
      <scheme val="minor"/>
    </font>
    <font>
      <sz val="24"/>
      <color rgb="FFFF0000"/>
      <name val="Calibri"/>
      <family val="2"/>
    </font>
    <font>
      <sz val="11"/>
      <color theme="1"/>
      <name val="Arial"/>
      <family val="2"/>
    </font>
    <font>
      <i/>
      <sz val="2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/>
      <right/>
      <top/>
      <bottom style="thin">
        <color indexed="64"/>
      </bottom>
      <diagonal/>
    </border>
    <border>
      <left style="thick">
        <color auto="1"/>
      </left>
      <right/>
      <top/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indexed="64"/>
      </top>
      <bottom style="mediumDashed">
        <color indexed="64"/>
      </bottom>
      <diagonal/>
    </border>
    <border>
      <left/>
      <right/>
      <top style="thin">
        <color indexed="64"/>
      </top>
      <bottom style="mediumDashed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1" fillId="0" borderId="0" xfId="0" applyFont="1"/>
    <xf numFmtId="164" fontId="0" fillId="0" borderId="5" xfId="0" applyNumberFormat="1" applyBorder="1" applyAlignment="1">
      <alignment horizontal="center"/>
    </xf>
    <xf numFmtId="0" fontId="0" fillId="0" borderId="0" xfId="0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0" xfId="0" applyFont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right"/>
    </xf>
    <xf numFmtId="0" fontId="2" fillId="0" borderId="0" xfId="0" applyFont="1" applyAlignment="1">
      <alignment horizontal="left" vertical="center"/>
    </xf>
    <xf numFmtId="0" fontId="3" fillId="0" borderId="10" xfId="0" applyFont="1" applyBorder="1" applyAlignment="1">
      <alignment horizontal="right"/>
    </xf>
    <xf numFmtId="0" fontId="0" fillId="0" borderId="11" xfId="0" applyBorder="1"/>
    <xf numFmtId="0" fontId="0" fillId="0" borderId="12" xfId="0" applyBorder="1"/>
    <xf numFmtId="0" fontId="1" fillId="0" borderId="10" xfId="0" applyFont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3" fillId="0" borderId="10" xfId="0" applyFont="1" applyBorder="1"/>
    <xf numFmtId="0" fontId="5" fillId="0" borderId="10" xfId="0" applyFont="1" applyBorder="1"/>
    <xf numFmtId="0" fontId="1" fillId="0" borderId="10" xfId="0" applyFont="1" applyBorder="1"/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6" fillId="0" borderId="16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7" xfId="0" applyBorder="1"/>
    <xf numFmtId="0" fontId="0" fillId="0" borderId="17" xfId="0" applyBorder="1" applyAlignment="1">
      <alignment horizontal="left"/>
    </xf>
    <xf numFmtId="0" fontId="0" fillId="0" borderId="18" xfId="0" applyBorder="1"/>
    <xf numFmtId="0" fontId="0" fillId="0" borderId="5" xfId="0" applyBorder="1" applyAlignment="1">
      <alignment horizontal="center"/>
    </xf>
    <xf numFmtId="0" fontId="0" fillId="0" borderId="0" xfId="0" applyAlignment="1">
      <alignment horizontal="left"/>
    </xf>
    <xf numFmtId="0" fontId="0" fillId="0" borderId="6" xfId="0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5" xfId="0" applyBorder="1" applyAlignment="1">
      <alignment horizontal="left"/>
    </xf>
    <xf numFmtId="0" fontId="0" fillId="0" borderId="7" xfId="0" applyBorder="1" applyAlignment="1">
      <alignment horizontal="right"/>
    </xf>
    <xf numFmtId="0" fontId="0" fillId="0" borderId="0" xfId="0" applyAlignment="1">
      <alignment horizontal="right"/>
    </xf>
    <xf numFmtId="164" fontId="0" fillId="0" borderId="5" xfId="0" applyNumberFormat="1" applyBorder="1" applyAlignment="1">
      <alignment horizontal="left"/>
    </xf>
    <xf numFmtId="1" fontId="7" fillId="0" borderId="4" xfId="0" applyNumberFormat="1" applyFont="1" applyBorder="1"/>
    <xf numFmtId="1" fontId="7" fillId="0" borderId="0" xfId="0" applyNumberFormat="1" applyFont="1" applyAlignment="1">
      <alignment horizontal="center"/>
    </xf>
    <xf numFmtId="0" fontId="8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 vertical="center"/>
    </xf>
    <xf numFmtId="0" fontId="10" fillId="0" borderId="19" xfId="0" applyFont="1" applyBorder="1" applyAlignment="1">
      <alignment horizontal="left" vertical="center"/>
    </xf>
    <xf numFmtId="0" fontId="10" fillId="0" borderId="20" xfId="0" applyFont="1" applyBorder="1" applyAlignment="1">
      <alignment horizontal="left" vertical="center"/>
    </xf>
    <xf numFmtId="0" fontId="10" fillId="0" borderId="21" xfId="0" applyFont="1" applyBorder="1" applyAlignment="1">
      <alignment horizontal="left" vertical="center"/>
    </xf>
    <xf numFmtId="0" fontId="0" fillId="0" borderId="0" xfId="0" applyAlignment="1">
      <alignment horizontal="right" vertical="center"/>
    </xf>
    <xf numFmtId="164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14" fontId="0" fillId="0" borderId="0" xfId="0" applyNumberFormat="1"/>
    <xf numFmtId="0" fontId="11" fillId="0" borderId="0" xfId="0" applyFont="1"/>
    <xf numFmtId="0" fontId="1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25</xdr:row>
      <xdr:rowOff>95250</xdr:rowOff>
    </xdr:from>
    <xdr:to>
      <xdr:col>14</xdr:col>
      <xdr:colOff>66675</xdr:colOff>
      <xdr:row>25</xdr:row>
      <xdr:rowOff>104775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CA61ADBA-7F57-407C-9374-FD1F14124C93}"/>
            </a:ext>
          </a:extLst>
        </xdr:cNvPr>
        <xdr:cNvCxnSpPr/>
      </xdr:nvCxnSpPr>
      <xdr:spPr>
        <a:xfrm flipV="1">
          <a:off x="57150" y="4667250"/>
          <a:ext cx="8543925" cy="95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lou\Desktop\28-SEP-2025%20(LTS097).xlsx" TargetMode="External"/><Relationship Id="rId1" Type="http://schemas.openxmlformats.org/officeDocument/2006/relationships/externalLinkPath" Target="/Users/Marlou/Desktop/28-SEP-2025%20(LTS097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OA"/>
      <sheetName val="INFO"/>
    </sheetNames>
    <sheetDataSet>
      <sheetData sheetId="0"/>
      <sheetData sheetId="1">
        <row r="2">
          <cell r="A2" t="str">
            <v>JAR - 2287</v>
          </cell>
          <cell r="B2" t="str">
            <v>F. RONQUILIO</v>
          </cell>
          <cell r="C2" t="str">
            <v>UNABIA</v>
          </cell>
        </row>
        <row r="3">
          <cell r="A3" t="str">
            <v>JAR - 8662</v>
          </cell>
          <cell r="B3" t="str">
            <v>R. CAMAONGAY</v>
          </cell>
          <cell r="C3" t="str">
            <v>TEJEDAL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B01BF-B29F-4ED5-8512-753AFE4E2214}">
  <sheetPr>
    <pageSetUpPr fitToPage="1"/>
  </sheetPr>
  <dimension ref="A1:AC52"/>
  <sheetViews>
    <sheetView showGridLines="0" tabSelected="1" view="pageBreakPreview" topLeftCell="A12" zoomScale="85" zoomScaleNormal="130" zoomScaleSheetLayoutView="85" workbookViewId="0">
      <selection activeCell="N28" sqref="N28:N29"/>
    </sheetView>
  </sheetViews>
  <sheetFormatPr defaultRowHeight="14.4" x14ac:dyDescent="0.3"/>
  <cols>
    <col min="1" max="1" width="2" customWidth="1"/>
    <col min="3" max="3" width="8.6640625" customWidth="1"/>
    <col min="6" max="6" width="9.5546875" customWidth="1"/>
    <col min="7" max="7" width="11" customWidth="1"/>
    <col min="8" max="8" width="1.5546875" customWidth="1"/>
    <col min="9" max="9" width="11.109375" customWidth="1"/>
    <col min="10" max="10" width="11" customWidth="1"/>
    <col min="11" max="11" width="12.5546875" customWidth="1"/>
    <col min="12" max="12" width="13.5546875" customWidth="1"/>
    <col min="14" max="14" width="12.44140625" bestFit="1" customWidth="1"/>
    <col min="15" max="15" width="2.6640625" customWidth="1"/>
    <col min="16" max="16" width="15.109375" customWidth="1"/>
  </cols>
  <sheetData>
    <row r="1" spans="1:29" ht="27" customHeight="1" thickTop="1" x14ac:dyDescent="0.3">
      <c r="A1" s="54" t="s">
        <v>39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2"/>
      <c r="P1" s="41" t="s">
        <v>17</v>
      </c>
      <c r="Q1" s="40" t="s">
        <v>27</v>
      </c>
      <c r="R1" s="39" t="s">
        <v>26</v>
      </c>
      <c r="S1" s="39"/>
      <c r="T1" s="39"/>
      <c r="U1" s="39"/>
      <c r="V1" s="39"/>
      <c r="X1" s="40" t="s">
        <v>22</v>
      </c>
      <c r="Y1" s="39" t="s">
        <v>25</v>
      </c>
      <c r="Z1" s="39"/>
      <c r="AA1" s="39"/>
      <c r="AB1" s="39"/>
      <c r="AC1" s="39"/>
    </row>
    <row r="2" spans="1:29" ht="14.4" customHeight="1" x14ac:dyDescent="0.4">
      <c r="A2" s="9"/>
      <c r="B2" s="60" t="s">
        <v>38</v>
      </c>
      <c r="C2" s="60"/>
      <c r="E2" s="50" t="s">
        <v>37</v>
      </c>
      <c r="F2" s="50"/>
      <c r="G2" s="50"/>
      <c r="H2" s="50"/>
      <c r="I2" s="50"/>
      <c r="J2" s="50"/>
      <c r="K2" s="50"/>
      <c r="L2" s="49"/>
      <c r="M2" s="49" t="s">
        <v>36</v>
      </c>
      <c r="N2" s="48">
        <v>2393</v>
      </c>
      <c r="O2" s="47"/>
      <c r="P2" s="41"/>
      <c r="Q2" t="s">
        <v>24</v>
      </c>
      <c r="S2" s="42" t="s">
        <v>23</v>
      </c>
      <c r="T2" s="42"/>
      <c r="U2" s="42"/>
      <c r="V2" s="42"/>
      <c r="X2" s="40" t="s">
        <v>22</v>
      </c>
      <c r="Y2" s="42" t="s">
        <v>21</v>
      </c>
      <c r="Z2" s="42"/>
      <c r="AA2" s="42"/>
      <c r="AB2" s="42"/>
      <c r="AC2" s="42"/>
    </row>
    <row r="3" spans="1:29" ht="14.4" customHeight="1" x14ac:dyDescent="0.4">
      <c r="A3" s="9"/>
      <c r="B3" s="60"/>
      <c r="C3" s="60"/>
      <c r="G3" s="50" t="s">
        <v>35</v>
      </c>
      <c r="H3" s="50"/>
      <c r="I3" s="50"/>
      <c r="L3" s="49"/>
      <c r="M3" s="49"/>
      <c r="N3" s="48"/>
      <c r="O3" s="47"/>
      <c r="P3" s="41"/>
      <c r="Q3" t="s">
        <v>20</v>
      </c>
      <c r="S3" s="23"/>
      <c r="T3" t="s">
        <v>19</v>
      </c>
      <c r="U3" s="23"/>
      <c r="V3" s="23"/>
    </row>
    <row r="4" spans="1:29" x14ac:dyDescent="0.3">
      <c r="A4" s="9"/>
      <c r="L4" t="s">
        <v>1</v>
      </c>
      <c r="M4" s="46">
        <v>45918</v>
      </c>
      <c r="N4" s="46"/>
      <c r="O4" s="4"/>
      <c r="P4" s="41"/>
      <c r="Q4" t="s">
        <v>18</v>
      </c>
      <c r="R4" s="39" t="s">
        <v>17</v>
      </c>
      <c r="S4" s="39"/>
      <c r="T4" s="39"/>
      <c r="U4" s="39"/>
      <c r="V4" s="39"/>
      <c r="X4" s="40" t="s">
        <v>16</v>
      </c>
      <c r="Y4" s="39" t="s">
        <v>15</v>
      </c>
      <c r="Z4" s="39"/>
      <c r="AA4" s="39"/>
      <c r="AB4" s="39"/>
      <c r="AC4" s="39"/>
    </row>
    <row r="5" spans="1:29" x14ac:dyDescent="0.3">
      <c r="A5" s="9"/>
      <c r="B5" s="40" t="s">
        <v>34</v>
      </c>
      <c r="C5" s="39" t="str">
        <f>IF(G5=[1]INFO!A2,[1]INFO!B2,IF(G5=[1]INFO!A2,[1]INFO!B2,IF(G5=[1]INFO!A3,[1]INFO!B3,"")))</f>
        <v>R. CAMAONGAY</v>
      </c>
      <c r="D5" s="39"/>
      <c r="E5" s="45" t="s">
        <v>33</v>
      </c>
      <c r="F5" s="45"/>
      <c r="G5" s="31" t="s">
        <v>32</v>
      </c>
      <c r="I5" s="40" t="s">
        <v>31</v>
      </c>
      <c r="J5" s="44" t="str">
        <f>IF(G5=[1]INFO!A2,[1]INFO!C2,IF(G5=[1]INFO!A2,[1]INFO!C2,IF(G5=[1]INFO!A3,[1]INFO!C3,"")))</f>
        <v>TEJEDAL</v>
      </c>
      <c r="K5" s="43"/>
      <c r="L5" s="59" t="s">
        <v>30</v>
      </c>
      <c r="M5" s="42" t="s">
        <v>29</v>
      </c>
      <c r="N5" s="42"/>
      <c r="O5" s="4"/>
    </row>
    <row r="6" spans="1:29" x14ac:dyDescent="0.3">
      <c r="A6" s="9"/>
      <c r="B6" s="40" t="s">
        <v>27</v>
      </c>
      <c r="C6" s="39" t="s">
        <v>26</v>
      </c>
      <c r="D6" s="39"/>
      <c r="E6" s="39"/>
      <c r="F6" s="39"/>
      <c r="G6" s="39"/>
      <c r="I6" s="40" t="s">
        <v>22</v>
      </c>
      <c r="J6" s="39" t="s">
        <v>25</v>
      </c>
      <c r="K6" s="39"/>
      <c r="L6" s="39"/>
      <c r="M6" s="39"/>
      <c r="N6" s="39"/>
      <c r="O6" s="4"/>
      <c r="P6" s="41" t="s">
        <v>48</v>
      </c>
      <c r="Q6" s="40" t="s">
        <v>27</v>
      </c>
      <c r="R6" s="39" t="s">
        <v>49</v>
      </c>
      <c r="S6" s="39"/>
      <c r="T6" s="39"/>
      <c r="U6" s="39"/>
      <c r="V6" s="39"/>
      <c r="X6" s="40" t="s">
        <v>22</v>
      </c>
      <c r="Y6" s="39" t="s">
        <v>25</v>
      </c>
      <c r="Z6" s="39"/>
      <c r="AA6" s="39"/>
      <c r="AB6" s="39"/>
      <c r="AC6" s="39"/>
    </row>
    <row r="7" spans="1:29" x14ac:dyDescent="0.3">
      <c r="A7" s="9"/>
      <c r="B7" t="s">
        <v>24</v>
      </c>
      <c r="D7" s="42" t="s">
        <v>23</v>
      </c>
      <c r="E7" s="42"/>
      <c r="F7" s="42"/>
      <c r="G7" s="42"/>
      <c r="I7" s="40" t="s">
        <v>22</v>
      </c>
      <c r="J7" s="42" t="s">
        <v>21</v>
      </c>
      <c r="K7" s="42"/>
      <c r="L7" s="42"/>
      <c r="M7" s="42"/>
      <c r="N7" s="42"/>
      <c r="O7" s="4"/>
      <c r="P7" s="41"/>
      <c r="Q7" t="s">
        <v>24</v>
      </c>
      <c r="S7" s="42" t="s">
        <v>23</v>
      </c>
      <c r="T7" s="42"/>
      <c r="U7" s="42"/>
      <c r="V7" s="42"/>
      <c r="X7" s="40" t="s">
        <v>22</v>
      </c>
      <c r="Y7" s="42" t="s">
        <v>21</v>
      </c>
      <c r="Z7" s="42"/>
      <c r="AA7" s="42"/>
      <c r="AB7" s="42"/>
      <c r="AC7" s="42"/>
    </row>
    <row r="8" spans="1:29" x14ac:dyDescent="0.3">
      <c r="A8" s="9"/>
      <c r="B8" t="s">
        <v>20</v>
      </c>
      <c r="D8" s="23"/>
      <c r="E8" t="s">
        <v>19</v>
      </c>
      <c r="F8" s="23"/>
      <c r="G8" s="23"/>
      <c r="O8" s="4"/>
      <c r="P8" s="41"/>
      <c r="Q8" t="s">
        <v>20</v>
      </c>
      <c r="S8" s="23"/>
      <c r="T8" t="s">
        <v>19</v>
      </c>
      <c r="U8" s="23"/>
      <c r="V8" s="23"/>
    </row>
    <row r="9" spans="1:29" x14ac:dyDescent="0.3">
      <c r="A9" s="9"/>
      <c r="B9" t="s">
        <v>18</v>
      </c>
      <c r="C9" s="39" t="s">
        <v>17</v>
      </c>
      <c r="D9" s="39"/>
      <c r="E9" s="39"/>
      <c r="F9" s="39"/>
      <c r="G9" s="39"/>
      <c r="I9" s="40" t="s">
        <v>16</v>
      </c>
      <c r="J9" s="39" t="s">
        <v>15</v>
      </c>
      <c r="K9" s="39"/>
      <c r="L9" s="39"/>
      <c r="M9" s="39"/>
      <c r="N9" s="39"/>
      <c r="O9" s="4"/>
      <c r="P9" s="41"/>
      <c r="Q9" t="s">
        <v>18</v>
      </c>
      <c r="R9" s="39" t="s">
        <v>48</v>
      </c>
      <c r="S9" s="39"/>
      <c r="T9" s="39"/>
      <c r="U9" s="39"/>
      <c r="V9" s="39"/>
      <c r="X9" s="40" t="s">
        <v>16</v>
      </c>
      <c r="Y9" s="39" t="s">
        <v>15</v>
      </c>
      <c r="Z9" s="39"/>
      <c r="AA9" s="39"/>
      <c r="AB9" s="39"/>
      <c r="AC9" s="39"/>
    </row>
    <row r="10" spans="1:29" ht="7.2" customHeight="1" x14ac:dyDescent="0.3">
      <c r="A10" s="9"/>
      <c r="K10" s="23"/>
      <c r="O10" s="4"/>
    </row>
    <row r="11" spans="1:29" ht="15.6" x14ac:dyDescent="0.3">
      <c r="A11" s="9"/>
      <c r="B11" s="38" t="s">
        <v>14</v>
      </c>
      <c r="C11" s="23"/>
      <c r="D11" s="23" t="s">
        <v>47</v>
      </c>
      <c r="E11" s="23"/>
      <c r="F11" s="23"/>
      <c r="G11" s="37" t="s">
        <v>12</v>
      </c>
      <c r="H11" s="36"/>
      <c r="I11" s="36"/>
      <c r="J11" s="35">
        <v>139544</v>
      </c>
      <c r="L11" s="34" t="s">
        <v>11</v>
      </c>
      <c r="M11" s="33"/>
      <c r="N11" s="32"/>
      <c r="O11" s="4"/>
      <c r="P11" s="41" t="s">
        <v>46</v>
      </c>
      <c r="Q11" s="40" t="s">
        <v>27</v>
      </c>
      <c r="R11" s="39" t="s">
        <v>42</v>
      </c>
      <c r="S11" s="39"/>
      <c r="T11" s="39"/>
      <c r="U11" s="39"/>
      <c r="V11" s="39"/>
      <c r="X11" s="40" t="s">
        <v>22</v>
      </c>
      <c r="Y11" s="39" t="s">
        <v>25</v>
      </c>
      <c r="Z11" s="39"/>
      <c r="AA11" s="39"/>
      <c r="AB11" s="39"/>
      <c r="AC11" s="39"/>
    </row>
    <row r="12" spans="1:29" x14ac:dyDescent="0.3">
      <c r="A12" s="9"/>
      <c r="B12" s="13"/>
      <c r="G12" t="s">
        <v>10</v>
      </c>
      <c r="J12" s="31">
        <v>3596</v>
      </c>
      <c r="K12" s="30"/>
      <c r="L12" s="13"/>
      <c r="N12" s="12"/>
      <c r="O12" s="4"/>
      <c r="P12" s="41"/>
      <c r="Q12" t="s">
        <v>24</v>
      </c>
      <c r="S12" s="42" t="s">
        <v>23</v>
      </c>
      <c r="T12" s="42"/>
      <c r="U12" s="42"/>
      <c r="V12" s="42"/>
      <c r="X12" s="40" t="s">
        <v>22</v>
      </c>
      <c r="Y12" s="42" t="s">
        <v>21</v>
      </c>
      <c r="Z12" s="42"/>
      <c r="AA12" s="42"/>
      <c r="AB12" s="42"/>
      <c r="AC12" s="42"/>
    </row>
    <row r="13" spans="1:29" x14ac:dyDescent="0.3">
      <c r="A13" s="9"/>
      <c r="B13" s="13"/>
      <c r="C13" s="58"/>
      <c r="L13" s="29" t="s">
        <v>9</v>
      </c>
      <c r="N13" s="12"/>
      <c r="O13" s="4"/>
      <c r="P13" s="41"/>
      <c r="Q13" t="s">
        <v>20</v>
      </c>
      <c r="S13" s="23"/>
      <c r="T13" t="s">
        <v>19</v>
      </c>
      <c r="U13" s="23"/>
      <c r="V13" s="23"/>
    </row>
    <row r="14" spans="1:29" x14ac:dyDescent="0.3">
      <c r="A14" s="9"/>
      <c r="B14" s="13"/>
      <c r="L14" s="29" t="s">
        <v>8</v>
      </c>
      <c r="N14" s="12"/>
      <c r="O14" s="4"/>
      <c r="P14" s="41"/>
      <c r="Q14" t="s">
        <v>18</v>
      </c>
      <c r="R14" s="39" t="s">
        <v>46</v>
      </c>
      <c r="S14" s="39"/>
      <c r="T14" s="39"/>
      <c r="U14" s="39"/>
      <c r="V14" s="39"/>
      <c r="X14" s="40" t="s">
        <v>16</v>
      </c>
      <c r="Y14" s="39" t="s">
        <v>15</v>
      </c>
      <c r="Z14" s="39"/>
      <c r="AA14" s="39"/>
      <c r="AB14" s="39"/>
      <c r="AC14" s="39"/>
    </row>
    <row r="15" spans="1:29" ht="23.25" customHeight="1" x14ac:dyDescent="0.45">
      <c r="A15" s="9"/>
      <c r="B15" s="28" t="s">
        <v>7</v>
      </c>
      <c r="J15" t="s">
        <v>45</v>
      </c>
      <c r="L15" s="11"/>
      <c r="M15" s="5"/>
      <c r="N15" s="10"/>
      <c r="O15" s="4"/>
    </row>
    <row r="16" spans="1:29" ht="15.6" customHeight="1" x14ac:dyDescent="0.3">
      <c r="A16" s="9"/>
      <c r="B16" s="13"/>
      <c r="L16" s="24"/>
      <c r="M16" s="23"/>
      <c r="N16" s="22"/>
      <c r="O16" s="4"/>
      <c r="P16" t="s">
        <v>44</v>
      </c>
      <c r="Q16" s="57">
        <f>C17</f>
        <v>380</v>
      </c>
      <c r="R16" s="55">
        <f>J11</f>
        <v>139544</v>
      </c>
      <c r="S16" s="55"/>
      <c r="T16" s="56">
        <f>M4</f>
        <v>45918</v>
      </c>
      <c r="U16" s="55"/>
      <c r="V16" t="str">
        <f>C5</f>
        <v>R. CAMAONGAY</v>
      </c>
      <c r="W16" t="str">
        <f>J5</f>
        <v>TEJEDAL</v>
      </c>
      <c r="Y16" t="str">
        <f>C9</f>
        <v>BB5</v>
      </c>
    </row>
    <row r="17" spans="1:29" ht="16.2" customHeight="1" x14ac:dyDescent="0.4">
      <c r="A17" s="9"/>
      <c r="B17" s="27"/>
      <c r="C17" s="26">
        <v>380</v>
      </c>
      <c r="D17" s="25" t="s">
        <v>6</v>
      </c>
      <c r="L17" s="24"/>
      <c r="M17" s="23"/>
      <c r="N17" s="22"/>
      <c r="O17" s="4"/>
      <c r="P17" t="s">
        <v>44</v>
      </c>
      <c r="Q17">
        <f>C43</f>
        <v>518</v>
      </c>
      <c r="R17" s="55">
        <f>J37</f>
        <v>139536</v>
      </c>
      <c r="S17" s="55"/>
      <c r="T17" s="56">
        <f>M30</f>
        <v>45918</v>
      </c>
      <c r="U17" s="55"/>
      <c r="V17" t="str">
        <f>C31</f>
        <v>R. CAMAONGAY</v>
      </c>
      <c r="W17" t="str">
        <f>J31</f>
        <v>TEJEDAL</v>
      </c>
      <c r="Y17" t="str">
        <f>C35</f>
        <v>BB5</v>
      </c>
    </row>
    <row r="18" spans="1:29" ht="15" thickBot="1" x14ac:dyDescent="0.35">
      <c r="A18" s="9"/>
      <c r="B18" s="13"/>
      <c r="L18" s="21" t="s">
        <v>4</v>
      </c>
      <c r="M18" s="20"/>
      <c r="N18" s="19"/>
      <c r="O18" s="4"/>
    </row>
    <row r="19" spans="1:29" ht="18" customHeight="1" x14ac:dyDescent="0.4">
      <c r="A19" s="9"/>
      <c r="B19" s="18"/>
      <c r="E19" s="16"/>
      <c r="F19" s="15"/>
      <c r="G19" s="14"/>
      <c r="I19" s="16"/>
      <c r="J19" s="15"/>
      <c r="K19" s="14"/>
      <c r="L19" s="11"/>
      <c r="M19" s="5"/>
      <c r="N19" s="10"/>
      <c r="O19" s="4"/>
      <c r="P19" s="41" t="s">
        <v>43</v>
      </c>
      <c r="Q19" s="40" t="s">
        <v>27</v>
      </c>
      <c r="R19" s="39" t="s">
        <v>42</v>
      </c>
      <c r="S19" s="39"/>
      <c r="T19" s="39"/>
      <c r="U19" s="39"/>
      <c r="V19" s="39"/>
      <c r="X19" s="40" t="s">
        <v>22</v>
      </c>
      <c r="Y19" s="39" t="s">
        <v>41</v>
      </c>
      <c r="Z19" s="39"/>
      <c r="AA19" s="39"/>
      <c r="AB19" s="39"/>
      <c r="AC19" s="39"/>
    </row>
    <row r="20" spans="1:29" x14ac:dyDescent="0.3">
      <c r="A20" s="9"/>
      <c r="B20" s="13"/>
      <c r="N20" s="12"/>
      <c r="O20" s="4"/>
      <c r="P20" s="41"/>
      <c r="Q20" t="s">
        <v>24</v>
      </c>
      <c r="S20" s="42" t="s">
        <v>23</v>
      </c>
      <c r="T20" s="42"/>
      <c r="U20" s="42"/>
      <c r="V20" s="42"/>
      <c r="X20" s="40" t="s">
        <v>22</v>
      </c>
      <c r="Y20" s="42" t="s">
        <v>21</v>
      </c>
      <c r="Z20" s="42"/>
      <c r="AA20" s="42"/>
      <c r="AB20" s="42"/>
      <c r="AC20" s="42"/>
    </row>
    <row r="21" spans="1:29" x14ac:dyDescent="0.3">
      <c r="A21" s="9"/>
      <c r="B21" s="11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10"/>
      <c r="O21" s="4"/>
      <c r="P21" s="41"/>
      <c r="Q21" t="s">
        <v>20</v>
      </c>
      <c r="S21" s="23"/>
      <c r="T21" t="s">
        <v>19</v>
      </c>
      <c r="U21" s="23"/>
      <c r="V21" s="23"/>
    </row>
    <row r="22" spans="1:29" x14ac:dyDescent="0.3">
      <c r="A22" s="9"/>
      <c r="B22" s="6" t="s">
        <v>3</v>
      </c>
      <c r="K22" s="6" t="s">
        <v>2</v>
      </c>
      <c r="O22" s="4"/>
      <c r="P22" s="41"/>
      <c r="Q22" t="s">
        <v>18</v>
      </c>
      <c r="R22" s="39" t="s">
        <v>40</v>
      </c>
      <c r="S22" s="39"/>
      <c r="T22" s="39"/>
      <c r="U22" s="39"/>
      <c r="V22" s="39"/>
      <c r="X22" s="40" t="s">
        <v>16</v>
      </c>
      <c r="Y22" s="39" t="s">
        <v>15</v>
      </c>
      <c r="Z22" s="39"/>
      <c r="AA22" s="39"/>
      <c r="AB22" s="39"/>
      <c r="AC22" s="39"/>
    </row>
    <row r="23" spans="1:29" x14ac:dyDescent="0.3">
      <c r="A23" s="9"/>
      <c r="O23" s="4"/>
    </row>
    <row r="24" spans="1:29" x14ac:dyDescent="0.3">
      <c r="A24" s="9"/>
      <c r="B24" s="5"/>
      <c r="C24" s="5"/>
      <c r="D24" s="5"/>
      <c r="F24" s="8" t="s">
        <v>1</v>
      </c>
      <c r="G24" s="7">
        <f>M4</f>
        <v>45918</v>
      </c>
      <c r="H24" s="7"/>
      <c r="I24" s="7"/>
      <c r="K24" s="6" t="s">
        <v>0</v>
      </c>
      <c r="L24" s="5"/>
      <c r="M24" s="5"/>
      <c r="N24" s="5"/>
      <c r="O24" s="4"/>
    </row>
    <row r="25" spans="1:29" ht="7.95" customHeight="1" thickBot="1" x14ac:dyDescent="0.35">
      <c r="A25" s="3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1"/>
    </row>
    <row r="26" spans="1:29" ht="75" customHeight="1" thickTop="1" thickBot="1" x14ac:dyDescent="0.35"/>
    <row r="27" spans="1:29" ht="31.8" thickTop="1" x14ac:dyDescent="0.3">
      <c r="A27" s="54" t="s">
        <v>39</v>
      </c>
      <c r="B27" s="53"/>
      <c r="C27" s="53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2"/>
      <c r="P27" s="41" t="s">
        <v>28</v>
      </c>
      <c r="Q27" s="40" t="s">
        <v>27</v>
      </c>
      <c r="R27" s="39"/>
      <c r="S27" s="39"/>
      <c r="T27" s="39"/>
      <c r="U27" s="39"/>
      <c r="V27" s="39"/>
      <c r="X27" s="40" t="s">
        <v>22</v>
      </c>
      <c r="Y27" s="39"/>
      <c r="Z27" s="39"/>
      <c r="AA27" s="39"/>
      <c r="AB27" s="39"/>
      <c r="AC27" s="39"/>
    </row>
    <row r="28" spans="1:29" ht="15.75" customHeight="1" x14ac:dyDescent="0.4">
      <c r="A28" s="9"/>
      <c r="B28" s="51" t="s">
        <v>38</v>
      </c>
      <c r="C28" s="51"/>
      <c r="E28" s="50" t="s">
        <v>37</v>
      </c>
      <c r="F28" s="50"/>
      <c r="G28" s="50"/>
      <c r="H28" s="50"/>
      <c r="I28" s="50"/>
      <c r="J28" s="50"/>
      <c r="K28" s="50"/>
      <c r="L28" s="49"/>
      <c r="M28" s="49" t="s">
        <v>36</v>
      </c>
      <c r="N28" s="48">
        <f>N2+1</f>
        <v>2394</v>
      </c>
      <c r="O28" s="47"/>
      <c r="P28" s="41"/>
      <c r="Q28" t="s">
        <v>24</v>
      </c>
      <c r="S28" s="42"/>
      <c r="T28" s="42"/>
      <c r="U28" s="42"/>
      <c r="V28" s="42"/>
      <c r="X28" s="40" t="s">
        <v>22</v>
      </c>
      <c r="Y28" s="42"/>
      <c r="Z28" s="42"/>
      <c r="AA28" s="42"/>
      <c r="AB28" s="42"/>
      <c r="AC28" s="42"/>
    </row>
    <row r="29" spans="1:29" ht="15" customHeight="1" x14ac:dyDescent="0.4">
      <c r="A29" s="9"/>
      <c r="B29" s="51"/>
      <c r="C29" s="51"/>
      <c r="G29" s="50" t="s">
        <v>35</v>
      </c>
      <c r="H29" s="50"/>
      <c r="I29" s="50"/>
      <c r="L29" s="49"/>
      <c r="M29" s="49"/>
      <c r="N29" s="48"/>
      <c r="O29" s="47"/>
      <c r="P29" s="41"/>
      <c r="Q29" t="s">
        <v>20</v>
      </c>
      <c r="S29" s="23"/>
      <c r="T29" t="s">
        <v>19</v>
      </c>
      <c r="U29" s="23"/>
      <c r="V29" s="23"/>
    </row>
    <row r="30" spans="1:29" x14ac:dyDescent="0.3">
      <c r="A30" s="9"/>
      <c r="L30" t="s">
        <v>1</v>
      </c>
      <c r="M30" s="46">
        <v>45918</v>
      </c>
      <c r="N30" s="46"/>
      <c r="O30" s="4"/>
      <c r="P30" s="41"/>
      <c r="Q30" t="s">
        <v>18</v>
      </c>
      <c r="R30" s="39"/>
      <c r="S30" s="39"/>
      <c r="T30" s="39"/>
      <c r="U30" s="39"/>
      <c r="V30" s="39"/>
      <c r="X30" s="40" t="s">
        <v>16</v>
      </c>
      <c r="Y30" s="39"/>
      <c r="Z30" s="39"/>
      <c r="AA30" s="39"/>
      <c r="AB30" s="39"/>
      <c r="AC30" s="39"/>
    </row>
    <row r="31" spans="1:29" x14ac:dyDescent="0.3">
      <c r="A31" s="9"/>
      <c r="B31" s="40" t="s">
        <v>34</v>
      </c>
      <c r="C31" s="39" t="str">
        <f>IF(G31=[1]INFO!A2,[1]INFO!B2,IF(G31=[1]INFO!A2,[1]INFO!B2,IF(G31=[1]INFO!A3,[1]INFO!B3,"")))</f>
        <v>R. CAMAONGAY</v>
      </c>
      <c r="D31" s="39"/>
      <c r="E31" s="45" t="s">
        <v>33</v>
      </c>
      <c r="F31" s="45"/>
      <c r="G31" s="31" t="s">
        <v>32</v>
      </c>
      <c r="I31" s="40" t="s">
        <v>31</v>
      </c>
      <c r="J31" s="44" t="str">
        <f>IF(G31=[1]INFO!A2,[1]INFO!C2,IF(G31=[1]INFO!A2,[1]INFO!C2,IF(G31=[1]INFO!A3,[1]INFO!C3,"")))</f>
        <v>TEJEDAL</v>
      </c>
      <c r="K31" s="43"/>
      <c r="L31" t="s">
        <v>30</v>
      </c>
      <c r="M31" s="39" t="s">
        <v>29</v>
      </c>
      <c r="N31" s="39"/>
      <c r="O31" s="4"/>
      <c r="P31" s="41" t="s">
        <v>28</v>
      </c>
      <c r="Q31" s="40" t="s">
        <v>27</v>
      </c>
      <c r="R31" s="39"/>
      <c r="S31" s="39"/>
      <c r="T31" s="39"/>
      <c r="U31" s="39"/>
      <c r="V31" s="39"/>
      <c r="X31" s="40" t="s">
        <v>22</v>
      </c>
      <c r="Y31" s="39"/>
      <c r="Z31" s="39"/>
      <c r="AA31" s="39"/>
      <c r="AB31" s="39"/>
      <c r="AC31" s="39"/>
    </row>
    <row r="32" spans="1:29" x14ac:dyDescent="0.3">
      <c r="A32" s="9"/>
      <c r="B32" s="40" t="s">
        <v>27</v>
      </c>
      <c r="C32" s="39" t="s">
        <v>26</v>
      </c>
      <c r="D32" s="39"/>
      <c r="E32" s="39"/>
      <c r="F32" s="39"/>
      <c r="G32" s="39"/>
      <c r="I32" s="40" t="s">
        <v>22</v>
      </c>
      <c r="J32" s="39" t="s">
        <v>25</v>
      </c>
      <c r="K32" s="39"/>
      <c r="L32" s="39"/>
      <c r="M32" s="39"/>
      <c r="N32" s="39"/>
      <c r="O32" s="4"/>
      <c r="P32" s="41"/>
      <c r="Q32" t="s">
        <v>24</v>
      </c>
      <c r="S32" s="42"/>
      <c r="T32" s="42"/>
      <c r="U32" s="42"/>
      <c r="V32" s="42"/>
      <c r="X32" s="40" t="s">
        <v>22</v>
      </c>
      <c r="Y32" s="42"/>
      <c r="Z32" s="42"/>
      <c r="AA32" s="42"/>
      <c r="AB32" s="42"/>
      <c r="AC32" s="42"/>
    </row>
    <row r="33" spans="1:29" x14ac:dyDescent="0.3">
      <c r="A33" s="9"/>
      <c r="B33" t="s">
        <v>24</v>
      </c>
      <c r="D33" s="42" t="s">
        <v>23</v>
      </c>
      <c r="E33" s="42"/>
      <c r="F33" s="42"/>
      <c r="G33" s="42"/>
      <c r="I33" s="40" t="s">
        <v>22</v>
      </c>
      <c r="J33" s="42" t="s">
        <v>21</v>
      </c>
      <c r="K33" s="42"/>
      <c r="L33" s="42"/>
      <c r="M33" s="42"/>
      <c r="N33" s="42"/>
      <c r="O33" s="4"/>
      <c r="P33" s="41"/>
      <c r="Q33" t="s">
        <v>20</v>
      </c>
      <c r="S33" s="23"/>
      <c r="T33" t="s">
        <v>19</v>
      </c>
      <c r="U33" s="23"/>
      <c r="V33" s="23"/>
    </row>
    <row r="34" spans="1:29" x14ac:dyDescent="0.3">
      <c r="A34" s="9"/>
      <c r="B34" t="s">
        <v>20</v>
      </c>
      <c r="D34" s="23"/>
      <c r="E34" t="s">
        <v>19</v>
      </c>
      <c r="F34" s="23"/>
      <c r="G34" s="23"/>
      <c r="O34" s="4"/>
      <c r="P34" s="41"/>
      <c r="Q34" t="s">
        <v>18</v>
      </c>
      <c r="R34" s="39"/>
      <c r="S34" s="39"/>
      <c r="T34" s="39"/>
      <c r="U34" s="39"/>
      <c r="V34" s="39"/>
      <c r="X34" s="40" t="s">
        <v>16</v>
      </c>
      <c r="Y34" s="39"/>
      <c r="Z34" s="39"/>
      <c r="AA34" s="39"/>
      <c r="AB34" s="39"/>
      <c r="AC34" s="39"/>
    </row>
    <row r="35" spans="1:29" x14ac:dyDescent="0.3">
      <c r="A35" s="9"/>
      <c r="B35" t="s">
        <v>18</v>
      </c>
      <c r="C35" s="39" t="s">
        <v>17</v>
      </c>
      <c r="D35" s="39"/>
      <c r="E35" s="39"/>
      <c r="F35" s="39"/>
      <c r="G35" s="39"/>
      <c r="I35" s="40" t="s">
        <v>16</v>
      </c>
      <c r="J35" s="39" t="s">
        <v>15</v>
      </c>
      <c r="K35" s="39"/>
      <c r="L35" s="39"/>
      <c r="M35" s="39"/>
      <c r="N35" s="39"/>
      <c r="O35" s="4"/>
    </row>
    <row r="36" spans="1:29" x14ac:dyDescent="0.3">
      <c r="A36" s="9"/>
      <c r="K36" s="23"/>
      <c r="O36" s="4"/>
    </row>
    <row r="37" spans="1:29" ht="15.6" x14ac:dyDescent="0.3">
      <c r="A37" s="9"/>
      <c r="B37" s="38" t="s">
        <v>14</v>
      </c>
      <c r="C37" s="23"/>
      <c r="D37" s="23" t="s">
        <v>13</v>
      </c>
      <c r="E37" s="23"/>
      <c r="F37" s="23"/>
      <c r="G37" s="37" t="s">
        <v>12</v>
      </c>
      <c r="H37" s="36"/>
      <c r="I37" s="36"/>
      <c r="J37" s="35">
        <v>139536</v>
      </c>
      <c r="L37" s="34" t="s">
        <v>11</v>
      </c>
      <c r="M37" s="33"/>
      <c r="N37" s="32"/>
      <c r="O37" s="4"/>
    </row>
    <row r="38" spans="1:29" x14ac:dyDescent="0.3">
      <c r="A38" s="9"/>
      <c r="B38" s="13"/>
      <c r="G38" t="s">
        <v>10</v>
      </c>
      <c r="J38" s="31">
        <v>71035</v>
      </c>
      <c r="K38" s="30"/>
      <c r="L38" s="13"/>
      <c r="N38" s="12"/>
      <c r="O38" s="4"/>
    </row>
    <row r="39" spans="1:29" x14ac:dyDescent="0.3">
      <c r="A39" s="9"/>
      <c r="B39" s="13"/>
      <c r="L39" s="29" t="s">
        <v>9</v>
      </c>
      <c r="N39" s="12"/>
      <c r="O39" s="4"/>
    </row>
    <row r="40" spans="1:29" x14ac:dyDescent="0.3">
      <c r="A40" s="9"/>
      <c r="B40" s="13"/>
      <c r="L40" s="29" t="s">
        <v>8</v>
      </c>
      <c r="N40" s="12"/>
      <c r="O40" s="4"/>
    </row>
    <row r="41" spans="1:29" ht="23.4" x14ac:dyDescent="0.45">
      <c r="A41" s="9"/>
      <c r="B41" s="28" t="s">
        <v>7</v>
      </c>
      <c r="L41" s="11"/>
      <c r="M41" s="5"/>
      <c r="N41" s="10"/>
      <c r="O41" s="4"/>
    </row>
    <row r="42" spans="1:29" x14ac:dyDescent="0.3">
      <c r="A42" s="9"/>
      <c r="B42" s="13"/>
      <c r="L42" s="24"/>
      <c r="M42" s="23"/>
      <c r="N42" s="22"/>
      <c r="O42" s="4"/>
    </row>
    <row r="43" spans="1:29" ht="25.8" x14ac:dyDescent="0.4">
      <c r="A43" s="9"/>
      <c r="B43" s="27"/>
      <c r="C43" s="26">
        <v>518</v>
      </c>
      <c r="D43" s="25" t="s">
        <v>6</v>
      </c>
      <c r="L43" s="24"/>
      <c r="M43" s="23"/>
      <c r="N43" s="22"/>
      <c r="O43" s="4"/>
    </row>
    <row r="44" spans="1:29" ht="15" thickBot="1" x14ac:dyDescent="0.35">
      <c r="A44" s="9"/>
      <c r="B44" s="13"/>
      <c r="C44" t="s">
        <v>5</v>
      </c>
      <c r="L44" s="21" t="s">
        <v>4</v>
      </c>
      <c r="M44" s="20"/>
      <c r="N44" s="19"/>
      <c r="O44" s="4"/>
    </row>
    <row r="45" spans="1:29" ht="21" x14ac:dyDescent="0.4">
      <c r="A45" s="9"/>
      <c r="B45" s="18"/>
      <c r="C45" s="15"/>
      <c r="D45" s="17"/>
      <c r="E45" s="16"/>
      <c r="F45" s="15"/>
      <c r="G45" s="14"/>
      <c r="I45" s="16"/>
      <c r="J45" s="15"/>
      <c r="K45" s="14"/>
      <c r="L45" s="11"/>
      <c r="M45" s="5"/>
      <c r="N45" s="10"/>
      <c r="O45" s="4"/>
    </row>
    <row r="46" spans="1:29" x14ac:dyDescent="0.3">
      <c r="A46" s="9"/>
      <c r="B46" s="13"/>
      <c r="N46" s="12"/>
      <c r="O46" s="4"/>
    </row>
    <row r="47" spans="1:29" x14ac:dyDescent="0.3">
      <c r="A47" s="9"/>
      <c r="B47" s="11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10"/>
      <c r="O47" s="4"/>
    </row>
    <row r="48" spans="1:29" x14ac:dyDescent="0.3">
      <c r="A48" s="9"/>
      <c r="B48" s="6" t="s">
        <v>3</v>
      </c>
      <c r="K48" s="6" t="s">
        <v>2</v>
      </c>
      <c r="O48" s="4"/>
    </row>
    <row r="49" spans="1:15" x14ac:dyDescent="0.3">
      <c r="A49" s="9"/>
      <c r="O49" s="4"/>
    </row>
    <row r="50" spans="1:15" x14ac:dyDescent="0.3">
      <c r="A50" s="9"/>
      <c r="B50" s="5"/>
      <c r="C50" s="5"/>
      <c r="D50" s="5"/>
      <c r="F50" s="8" t="s">
        <v>1</v>
      </c>
      <c r="G50" s="7">
        <f>M30</f>
        <v>45918</v>
      </c>
      <c r="H50" s="7"/>
      <c r="I50" s="7"/>
      <c r="K50" s="6" t="s">
        <v>0</v>
      </c>
      <c r="L50" s="5"/>
      <c r="M50" s="5"/>
      <c r="N50" s="5"/>
      <c r="O50" s="4"/>
    </row>
    <row r="51" spans="1:15" ht="15" thickBot="1" x14ac:dyDescent="0.35">
      <c r="A51" s="3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1"/>
    </row>
    <row r="52" spans="1:15" ht="15" thickTop="1" x14ac:dyDescent="0.3"/>
  </sheetData>
  <mergeCells count="84">
    <mergeCell ref="P31:P34"/>
    <mergeCell ref="R31:V31"/>
    <mergeCell ref="Y31:AC31"/>
    <mergeCell ref="S32:V32"/>
    <mergeCell ref="Y32:AC32"/>
    <mergeCell ref="R34:V34"/>
    <mergeCell ref="Y34:AC34"/>
    <mergeCell ref="C9:G9"/>
    <mergeCell ref="J9:N9"/>
    <mergeCell ref="P27:P30"/>
    <mergeCell ref="R27:V27"/>
    <mergeCell ref="Y27:AC27"/>
    <mergeCell ref="S28:V28"/>
    <mergeCell ref="Y28:AC28"/>
    <mergeCell ref="R30:V30"/>
    <mergeCell ref="Y30:AC30"/>
    <mergeCell ref="M2:M3"/>
    <mergeCell ref="N2:N3"/>
    <mergeCell ref="L2:L3"/>
    <mergeCell ref="L11:N11"/>
    <mergeCell ref="M30:N30"/>
    <mergeCell ref="A27:O27"/>
    <mergeCell ref="B28:C29"/>
    <mergeCell ref="D7:G7"/>
    <mergeCell ref="G24:I24"/>
    <mergeCell ref="J7:N7"/>
    <mergeCell ref="M5:N5"/>
    <mergeCell ref="C6:G6"/>
    <mergeCell ref="J6:N6"/>
    <mergeCell ref="A1:O1"/>
    <mergeCell ref="B2:C3"/>
    <mergeCell ref="E2:K2"/>
    <mergeCell ref="G3:I3"/>
    <mergeCell ref="C5:D5"/>
    <mergeCell ref="E5:F5"/>
    <mergeCell ref="M4:N4"/>
    <mergeCell ref="J35:N35"/>
    <mergeCell ref="C31:D31"/>
    <mergeCell ref="E31:F31"/>
    <mergeCell ref="M31:N31"/>
    <mergeCell ref="C32:G32"/>
    <mergeCell ref="J32:N32"/>
    <mergeCell ref="G50:I50"/>
    <mergeCell ref="E28:K28"/>
    <mergeCell ref="L28:L29"/>
    <mergeCell ref="M28:M29"/>
    <mergeCell ref="L37:N37"/>
    <mergeCell ref="N28:N29"/>
    <mergeCell ref="G29:I29"/>
    <mergeCell ref="D33:G33"/>
    <mergeCell ref="J33:N33"/>
    <mergeCell ref="C35:G35"/>
    <mergeCell ref="R16:S16"/>
    <mergeCell ref="T16:U16"/>
    <mergeCell ref="R17:S17"/>
    <mergeCell ref="T17:U17"/>
    <mergeCell ref="R1:V1"/>
    <mergeCell ref="R14:V14"/>
    <mergeCell ref="R6:V6"/>
    <mergeCell ref="S7:V7"/>
    <mergeCell ref="R9:V9"/>
    <mergeCell ref="Y2:AC2"/>
    <mergeCell ref="R4:V4"/>
    <mergeCell ref="Y4:AC4"/>
    <mergeCell ref="Y6:AC6"/>
    <mergeCell ref="Y7:AC7"/>
    <mergeCell ref="Y9:AC9"/>
    <mergeCell ref="Y14:AC14"/>
    <mergeCell ref="P11:P14"/>
    <mergeCell ref="P1:P4"/>
    <mergeCell ref="P6:P9"/>
    <mergeCell ref="R11:V11"/>
    <mergeCell ref="Y11:AC11"/>
    <mergeCell ref="S12:V12"/>
    <mergeCell ref="Y12:AC12"/>
    <mergeCell ref="Y1:AC1"/>
    <mergeCell ref="S2:V2"/>
    <mergeCell ref="P19:P22"/>
    <mergeCell ref="R19:V19"/>
    <mergeCell ref="Y19:AC19"/>
    <mergeCell ref="S20:V20"/>
    <mergeCell ref="Y20:AC20"/>
    <mergeCell ref="R22:V22"/>
    <mergeCell ref="Y22:AC22"/>
  </mergeCells>
  <pageMargins left="0.31496062992125984" right="0.23622047244094491" top="1.3779527559055118" bottom="0.23622047244094491" header="0.31496062992125984" footer="0.31496062992125984"/>
  <pageSetup scale="77" fitToHeight="0" orientation="portrait" horizontalDpi="429496729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1ST&amp;2NDTRIP</vt:lpstr>
      <vt:lpstr>'1ST&amp;2NDTRIP'!Print_Area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Marlou</dc:creator>
  <cp:lastModifiedBy>Marlou</cp:lastModifiedBy>
  <dcterms:created xsi:type="dcterms:W3CDTF">2025-11-18T10:21:59Z</dcterms:created>
  <dcterms:modified xsi:type="dcterms:W3CDTF">2025-11-18T10:22:27Z</dcterms:modified>
</cp:coreProperties>
</file>