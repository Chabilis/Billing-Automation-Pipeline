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OA" sheetId="1" state="visible" r:id="rId1"/>
  </sheets>
  <definedNames>
    <definedName name="_xlnm.Print_Area" localSheetId="0">'SOA'!$A$1:$I$40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₱&quot;#,##0.00;\-&quot;₱&quot;#,##0.00"/>
    <numFmt numFmtId="165" formatCode="&quot;₱&quot;#,##0.00"/>
    <numFmt numFmtId="166" formatCode="00000"/>
    <numFmt numFmtId="167" formatCode="000000"/>
  </numFmts>
  <fonts count="4">
    <font>
      <name val="Calibri"/>
      <family val="2"/>
      <color theme="1"/>
      <sz val="11"/>
      <scheme val="minor"/>
    </font>
    <font>
      <name val="Bahnschrift SemiBold"/>
      <family val="2"/>
      <b val="1"/>
      <color rgb="FF00B0F0"/>
      <sz val="14"/>
    </font>
    <font>
      <name val="Calibri"/>
      <family val="2"/>
      <color theme="1"/>
      <sz val="18"/>
      <scheme val="minor"/>
    </font>
    <font>
      <name val="Calibri"/>
      <family val="2"/>
      <color rgb="FFFF0000"/>
      <sz val="2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5" fontId="0" fillId="0" borderId="1" applyAlignment="1" pivotButton="0" quotePrefix="1" xfId="0">
      <alignment horizontal="center"/>
    </xf>
    <xf numFmtId="0" fontId="0" fillId="0" borderId="1" applyAlignment="1" pivotButton="0" quotePrefix="1" xfId="0">
      <alignment horizontal="center"/>
    </xf>
    <xf numFmtId="167" fontId="0" fillId="0" borderId="1" applyAlignment="1" pivotButton="0" quotePrefix="1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5" fontId="0" fillId="0" borderId="0" applyAlignment="1" pivotButton="0" quotePrefix="1" xfId="0">
      <alignment horizontal="left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0" fillId="0" borderId="1" applyAlignment="1" pivotButton="0" quotePrefix="1" xfId="0">
      <alignment horizontal="center"/>
    </xf>
    <xf numFmtId="166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tabSelected="1" topLeftCell="A2" zoomScaleNormal="100" workbookViewId="0">
      <selection activeCell="I6" sqref="I6"/>
    </sheetView>
  </sheetViews>
  <sheetFormatPr baseColWidth="8" defaultRowHeight="14.4"/>
  <cols>
    <col width="16.109375" customWidth="1" min="1" max="1"/>
    <col width="21.44140625" customWidth="1" min="2" max="2"/>
    <col width="13.5546875" customWidth="1" min="3" max="3"/>
    <col width="16" customWidth="1" min="4" max="4"/>
    <col width="14.6640625" customWidth="1" min="5" max="5"/>
    <col width="14.44140625" customWidth="1" min="6" max="6"/>
    <col width="14" customWidth="1" min="7" max="7"/>
    <col width="18.109375" customWidth="1" min="8" max="8"/>
    <col width="17.5546875" customWidth="1" min="9" max="9"/>
  </cols>
  <sheetData>
    <row r="1" ht="36.6" customHeight="1">
      <c r="A1" t="inlineStr">
        <is>
          <t>SOA 97 - exported 2025-11-29</t>
        </is>
      </c>
      <c r="E1" s="16" t="inlineStr">
        <is>
          <t>LORKWEN TRUCKING SERVICES</t>
        </is>
      </c>
    </row>
    <row r="2">
      <c r="A2" t="n">
        <v>1199</v>
      </c>
      <c r="E2" s="15" t="inlineStr">
        <is>
          <t>PUROK 4 GUMAMELA, TAYUD, CONSOLACION CEBU 6001</t>
        </is>
      </c>
    </row>
    <row r="3">
      <c r="E3" s="15" t="inlineStr">
        <is>
          <t>TEL: 423-6184</t>
        </is>
      </c>
    </row>
    <row r="4">
      <c r="E4" s="15" t="n"/>
    </row>
    <row r="5" ht="23.4" customHeight="1">
      <c r="C5" s="14" t="inlineStr">
        <is>
          <t>STATEMENT OF ACCOUNT</t>
        </is>
      </c>
    </row>
    <row r="6">
      <c r="A6" t="inlineStr">
        <is>
          <t>DATE:</t>
        </is>
      </c>
      <c r="B6" s="13" t="n">
        <v>45928</v>
      </c>
      <c r="G6" t="inlineStr">
        <is>
          <t>SOA NO:</t>
        </is>
      </c>
      <c r="H6" s="12" t="inlineStr">
        <is>
          <t>LTRM-</t>
        </is>
      </c>
      <c r="I6" s="11" t="n">
        <v>97</v>
      </c>
    </row>
    <row r="7">
      <c r="A7" t="inlineStr">
        <is>
          <t>BILL NO.</t>
        </is>
      </c>
      <c r="B7" t="inlineStr">
        <is>
          <t>VIRGINIA FOOD INC.</t>
        </is>
      </c>
      <c r="K7" t="inlineStr">
        <is>
          <t>  </t>
        </is>
      </c>
    </row>
    <row r="8">
      <c r="A8" t="inlineStr">
        <is>
          <t>TRUCK CAPACITY:</t>
        </is>
      </c>
      <c r="B8" t="inlineStr">
        <is>
          <t>7 TONS</t>
        </is>
      </c>
    </row>
    <row r="9" ht="17.4" customHeight="1">
      <c r="C9" s="10" t="inlineStr">
        <is>
          <t>RM DELIVERY TRANSFER</t>
        </is>
      </c>
    </row>
    <row r="10">
      <c r="A10" s="4" t="inlineStr">
        <is>
          <t># OF TRIPS</t>
        </is>
      </c>
      <c r="B10" s="4" t="inlineStr">
        <is>
          <t>DELIVERY DATE</t>
        </is>
      </c>
      <c r="C10" s="4" t="inlineStr">
        <is>
          <t>FROM</t>
        </is>
      </c>
      <c r="D10" s="4" t="inlineStr">
        <is>
          <t>TO</t>
        </is>
      </c>
      <c r="E10" s="4" t="inlineStr">
        <is>
          <t>PLATE #</t>
        </is>
      </c>
      <c r="F10" s="4" t="inlineStr">
        <is>
          <t>TRIP TICKET</t>
        </is>
      </c>
      <c r="G10" s="4" t="inlineStr">
        <is>
          <t># OF BLKS</t>
        </is>
      </c>
      <c r="H10" s="4" t="inlineStr">
        <is>
          <t>WAY BILL</t>
        </is>
      </c>
      <c r="I10" s="4" t="inlineStr">
        <is>
          <t>RATE</t>
        </is>
      </c>
      <c r="M10" t="inlineStr">
        <is>
          <t> </t>
        </is>
      </c>
    </row>
    <row r="11">
      <c r="A11" s="4" t="n">
        <v>1199</v>
      </c>
      <c r="B11" s="7" t="n"/>
      <c r="C11" s="4" t="n"/>
      <c r="D11" s="4" t="n"/>
      <c r="E11" s="4" t="n"/>
      <c r="F11" s="17" t="n"/>
      <c r="G11" s="8" t="n"/>
      <c r="H11" s="18" t="n"/>
      <c r="I11" s="19">
        <f>IF(H11="","",6300)</f>
        <v/>
      </c>
    </row>
    <row r="12">
      <c r="A12" s="4" t="n"/>
      <c r="B12" s="7" t="n"/>
      <c r="C12" s="4" t="n"/>
      <c r="D12" s="4" t="n"/>
      <c r="E12" s="4" t="n"/>
      <c r="F12" s="17" t="n"/>
      <c r="G12" s="8" t="n"/>
      <c r="H12" s="18" t="n"/>
      <c r="I12" s="19">
        <f>IF(H12="","",6300)</f>
        <v/>
      </c>
    </row>
    <row r="13">
      <c r="A13" s="4" t="n"/>
      <c r="B13" s="7" t="n"/>
      <c r="C13" s="4" t="n"/>
      <c r="D13" s="4" t="n"/>
      <c r="E13" s="4" t="n"/>
      <c r="F13" s="17" t="n"/>
      <c r="G13" s="8" t="n"/>
      <c r="H13" s="18" t="n"/>
      <c r="I13" s="19">
        <f>IF(H13="","",6300)</f>
        <v/>
      </c>
    </row>
    <row r="14">
      <c r="A14" s="4" t="n"/>
      <c r="B14" s="7" t="n"/>
      <c r="C14" s="4" t="n"/>
      <c r="D14" s="4" t="n"/>
      <c r="E14" s="4" t="n"/>
      <c r="F14" s="17" t="n"/>
      <c r="G14" s="8" t="n"/>
      <c r="H14" s="18" t="n"/>
      <c r="I14" s="19">
        <f>IF(H14="","",6300)</f>
        <v/>
      </c>
    </row>
    <row r="15">
      <c r="A15" s="4" t="n"/>
      <c r="B15" s="7" t="n"/>
      <c r="C15" s="4" t="n"/>
      <c r="D15" s="4" t="n"/>
      <c r="E15" s="4" t="n"/>
      <c r="F15" s="17" t="n"/>
      <c r="G15" s="8" t="n"/>
      <c r="H15" s="18" t="n"/>
      <c r="I15" s="19">
        <f>IF(H15="","",6300)</f>
        <v/>
      </c>
    </row>
    <row r="16">
      <c r="A16" s="4" t="n"/>
      <c r="B16" s="7" t="n"/>
      <c r="C16" s="4" t="n"/>
      <c r="D16" s="4" t="n"/>
      <c r="E16" s="4" t="n"/>
      <c r="F16" s="17" t="n"/>
      <c r="G16" s="8" t="n"/>
      <c r="H16" s="18" t="n"/>
      <c r="I16" s="19">
        <f>IF(H16="","",6300)</f>
        <v/>
      </c>
    </row>
    <row r="17">
      <c r="A17" s="4" t="n"/>
      <c r="B17" s="7" t="n"/>
      <c r="C17" s="4" t="n"/>
      <c r="D17" s="4" t="n"/>
      <c r="E17" s="4" t="n"/>
      <c r="F17" s="17" t="n"/>
      <c r="G17" s="8" t="n"/>
      <c r="H17" s="18" t="n"/>
      <c r="I17" s="19">
        <f>IF(H17="","",6300)</f>
        <v/>
      </c>
    </row>
    <row r="18">
      <c r="A18" s="4" t="n"/>
      <c r="B18" s="7" t="n"/>
      <c r="C18" s="4" t="n"/>
      <c r="D18" s="4" t="n"/>
      <c r="E18" s="4" t="n"/>
      <c r="F18" s="17" t="n"/>
      <c r="G18" s="8" t="n"/>
      <c r="H18" s="18" t="n"/>
      <c r="I18" s="19">
        <f>IF(H18="","",6300)</f>
        <v/>
      </c>
    </row>
    <row r="19">
      <c r="A19" s="4" t="n"/>
      <c r="B19" s="7" t="n"/>
      <c r="C19" s="4" t="n"/>
      <c r="D19" s="4" t="n"/>
      <c r="E19" s="4" t="n"/>
      <c r="F19" s="17" t="n"/>
      <c r="G19" s="8" t="n"/>
      <c r="H19" s="18" t="n"/>
      <c r="I19" s="19">
        <f>IF(H19="","",6300)</f>
        <v/>
      </c>
    </row>
    <row r="20">
      <c r="A20" s="4" t="n"/>
      <c r="B20" s="7" t="n"/>
      <c r="C20" s="4" t="n"/>
      <c r="D20" s="4" t="n"/>
      <c r="E20" s="4" t="n"/>
      <c r="F20" s="17" t="n"/>
      <c r="G20" s="8" t="n"/>
      <c r="H20" s="18" t="n"/>
      <c r="I20" s="19">
        <f>IF(H20="","",6300)</f>
        <v/>
      </c>
    </row>
    <row r="21">
      <c r="A21" s="4" t="n"/>
      <c r="B21" s="7" t="n"/>
      <c r="C21" s="4" t="n"/>
      <c r="D21" s="4" t="n"/>
      <c r="E21" s="4" t="n"/>
      <c r="F21" s="17" t="n"/>
      <c r="G21" s="8" t="n"/>
      <c r="H21" s="18" t="n"/>
      <c r="I21" s="19">
        <f>IF(H21="","",6300)</f>
        <v/>
      </c>
    </row>
    <row r="22">
      <c r="A22" s="4" t="n"/>
      <c r="B22" s="7" t="n"/>
      <c r="C22" s="4" t="n"/>
      <c r="D22" s="4" t="n"/>
      <c r="E22" s="4" t="n"/>
      <c r="F22" s="17" t="n"/>
      <c r="G22" s="8" t="n"/>
      <c r="H22" s="18" t="n"/>
      <c r="I22" s="19">
        <f>IF(H22="","",6300)</f>
        <v/>
      </c>
    </row>
    <row r="23">
      <c r="A23" s="4" t="n"/>
      <c r="B23" s="7" t="n"/>
      <c r="C23" s="4" t="n"/>
      <c r="D23" s="4" t="n"/>
      <c r="E23" s="4" t="n"/>
      <c r="F23" s="17" t="n"/>
      <c r="G23" s="8" t="n"/>
      <c r="H23" s="18" t="n"/>
      <c r="I23" s="19">
        <f>IF(H23="","",6300)</f>
        <v/>
      </c>
    </row>
    <row r="24">
      <c r="A24" s="4" t="n"/>
      <c r="B24" s="7" t="n"/>
      <c r="C24" s="4" t="n"/>
      <c r="D24" s="4" t="n"/>
      <c r="E24" s="4" t="n"/>
      <c r="F24" s="17" t="n"/>
      <c r="G24" s="8" t="n"/>
      <c r="H24" s="18" t="n"/>
      <c r="I24" s="19">
        <f>IF(H24="","",6300)</f>
        <v/>
      </c>
    </row>
    <row r="25">
      <c r="A25" s="4" t="n"/>
      <c r="B25" s="7" t="n"/>
      <c r="C25" s="4" t="n"/>
      <c r="D25" s="4" t="n"/>
      <c r="E25" s="4" t="n"/>
      <c r="F25" s="17" t="n"/>
      <c r="G25" s="8" t="n"/>
      <c r="H25" s="18" t="n"/>
      <c r="I25" s="19" t="n"/>
    </row>
    <row r="26">
      <c r="A26" s="4" t="n"/>
      <c r="B26" s="7" t="n"/>
      <c r="C26" s="4" t="n"/>
      <c r="D26" s="4" t="n"/>
      <c r="E26" s="4" t="n"/>
      <c r="F26" s="17" t="n"/>
      <c r="G26" s="8" t="n"/>
      <c r="H26" s="18" t="n"/>
      <c r="I26" s="19" t="n"/>
    </row>
    <row r="27">
      <c r="A27" s="4" t="n"/>
      <c r="B27" s="7" t="n"/>
      <c r="C27" s="4" t="n"/>
      <c r="D27" s="4" t="n"/>
      <c r="E27" s="4" t="n"/>
      <c r="F27" s="17" t="n"/>
      <c r="G27" s="8" t="n"/>
      <c r="H27" s="18" t="n"/>
      <c r="I27" s="19" t="n"/>
    </row>
    <row r="28">
      <c r="A28" s="4" t="n"/>
      <c r="B28" s="7" t="n"/>
      <c r="C28" s="4" t="n"/>
      <c r="D28" s="4" t="n"/>
      <c r="E28" s="4" t="n"/>
      <c r="F28" s="17" t="n"/>
      <c r="G28" s="8" t="n"/>
      <c r="H28" s="18" t="n"/>
      <c r="I28" s="19" t="n"/>
    </row>
    <row r="29">
      <c r="A29" s="4" t="n"/>
      <c r="B29" s="7" t="n"/>
      <c r="C29" s="4" t="n"/>
      <c r="D29" s="4" t="n"/>
      <c r="E29" s="4" t="n"/>
      <c r="F29" s="17" t="n"/>
      <c r="G29" s="8" t="n"/>
      <c r="H29" s="18" t="n"/>
      <c r="I29" s="19" t="n"/>
    </row>
    <row r="30">
      <c r="A30" s="4" t="n"/>
      <c r="B30" s="7" t="n"/>
      <c r="C30" s="4" t="n"/>
      <c r="D30" s="4" t="n"/>
      <c r="E30" s="4" t="n"/>
      <c r="F30" s="17" t="n"/>
      <c r="G30" s="8" t="n"/>
      <c r="H30" s="18" t="n"/>
      <c r="I30" s="19">
        <f>IF(H30="","",6300)</f>
        <v/>
      </c>
    </row>
    <row r="31">
      <c r="A31" s="4" t="n"/>
      <c r="B31" s="7" t="n"/>
      <c r="C31" s="4" t="n"/>
      <c r="D31" s="4" t="n"/>
      <c r="E31" s="4" t="n"/>
      <c r="F31" s="20" t="inlineStr">
        <is>
          <t>  </t>
        </is>
      </c>
      <c r="G31" s="4" t="n"/>
      <c r="H31" s="18" t="n"/>
      <c r="I31" s="19">
        <f>IF(H31="","",6300)</f>
        <v/>
      </c>
    </row>
    <row r="32">
      <c r="A32" s="4" t="n"/>
      <c r="B32" s="7" t="n"/>
      <c r="C32" s="4" t="n"/>
      <c r="D32" s="4" t="n"/>
      <c r="E32" s="4" t="n"/>
      <c r="F32" s="20" t="n"/>
      <c r="G32" s="4" t="n"/>
      <c r="H32" s="18" t="n"/>
      <c r="I32" s="19">
        <f>IF(H32="","",6300)</f>
        <v/>
      </c>
    </row>
    <row r="33">
      <c r="A33" s="4" t="n"/>
      <c r="B33" s="7" t="n"/>
      <c r="C33" s="4" t="n"/>
      <c r="D33" s="4" t="n"/>
      <c r="E33" s="4" t="n"/>
      <c r="F33" s="20" t="n"/>
      <c r="G33" s="4" t="n"/>
      <c r="H33" s="18" t="n"/>
      <c r="I33" s="19">
        <f>IF(H33="","",6300)</f>
        <v/>
      </c>
    </row>
    <row r="34">
      <c r="A34" s="4" t="n"/>
      <c r="B34" s="7" t="n"/>
      <c r="C34" s="4" t="n"/>
      <c r="D34" s="4" t="n"/>
      <c r="E34" s="4" t="n"/>
      <c r="F34" s="20" t="n"/>
      <c r="G34" s="4" t="n"/>
      <c r="H34" s="18" t="n"/>
      <c r="I34" s="19">
        <f>IF(H34="","",6300)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inlineStr">
        <is>
          <t>TOTAL:</t>
        </is>
      </c>
      <c r="I35" s="19">
        <f>SUM(I11:I33)</f>
        <v/>
      </c>
    </row>
    <row r="36">
      <c r="E36" t="inlineStr">
        <is>
          <t> </t>
        </is>
      </c>
    </row>
    <row r="37">
      <c r="A37" t="inlineStr">
        <is>
          <t xml:space="preserve">PREPARED BY : </t>
        </is>
      </c>
      <c r="B37" t="inlineStr">
        <is>
          <t>MARLOU V. BATION</t>
        </is>
      </c>
    </row>
    <row r="40">
      <c r="A40" t="inlineStr">
        <is>
          <t xml:space="preserve">NOTED BY : </t>
        </is>
      </c>
      <c r="B40" t="inlineStr">
        <is>
          <t>MARIA LOURDES M. LOSOCON</t>
        </is>
      </c>
    </row>
    <row r="41">
      <c r="A41" s="2" t="n"/>
      <c r="E41" s="2" t="n"/>
      <c r="H41" s="21" t="n"/>
    </row>
  </sheetData>
  <mergeCells count="2">
    <mergeCell ref="C9:F9"/>
    <mergeCell ref="C5:G5"/>
  </mergeCells>
  <conditionalFormatting sqref="F1:F1048576 H1:H1048576">
    <cfRule type="duplicateValues" priority="1" dxfId="1"/>
    <cfRule type="duplicateValues" priority="2" dxfId="0"/>
  </conditionalFormatting>
  <pageMargins left="1.889763779527559" right="0.7086614173228347" top="0.7480314960629921" bottom="0.7480314960629921" header="0.3149606299212598" footer="0.3149606299212598"/>
  <pageSetup orientation="landscape" paperSize="5" scale="82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Marlou</dc:creator>
  <dcterms:created xsi:type="dcterms:W3CDTF">2025-11-18T10:26:01Z</dcterms:created>
  <dcterms:modified xsi:type="dcterms:W3CDTF">2025-11-29T03:17:27Z</dcterms:modified>
  <cp:lastModifiedBy>Marlou</cp:lastModifiedBy>
</cp:coreProperties>
</file>