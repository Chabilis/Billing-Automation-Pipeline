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lou\Desktop\MY PROJECT\Database\"/>
    </mc:Choice>
  </mc:AlternateContent>
  <xr:revisionPtr revIDLastSave="0" documentId="13_ncr:1_{8ECCEFB3-9514-4B66-8A54-257ECF9AE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1-204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03" i="2" l="1"/>
  <c r="D1677" i="2"/>
  <c r="D1675" i="2"/>
  <c r="D1669" i="2"/>
  <c r="D1578" i="2"/>
  <c r="D1522" i="2"/>
  <c r="D1485" i="2"/>
  <c r="D1474" i="2"/>
  <c r="D1466" i="2"/>
  <c r="D1419" i="2"/>
  <c r="D1414" i="2"/>
  <c r="D1410" i="2"/>
  <c r="D1408" i="2"/>
  <c r="D966" i="2"/>
  <c r="D962" i="2"/>
  <c r="D27" i="1"/>
</calcChain>
</file>

<file path=xl/sharedStrings.xml><?xml version="1.0" encoding="utf-8"?>
<sst xmlns="http://schemas.openxmlformats.org/spreadsheetml/2006/main" count="8480" uniqueCount="101">
  <si>
    <t>LORKWEN TRUCKING SERVICES</t>
  </si>
  <si>
    <t>PUROK 4 GUMAMELA, TAYUD, CONSOLACION, CEBU 6001</t>
  </si>
  <si>
    <t>TEL: 423-6184</t>
  </si>
  <si>
    <t>WAY BILL RECORD</t>
  </si>
  <si>
    <t>WAYBILL NO.</t>
  </si>
  <si>
    <t>TRIP TYPE</t>
  </si>
  <si>
    <t>CTNS.</t>
  </si>
  <si>
    <t>TRIP TICKET NO.</t>
  </si>
  <si>
    <t>DATE</t>
  </si>
  <si>
    <t>DRIVER</t>
  </si>
  <si>
    <t>HELPER 1</t>
  </si>
  <si>
    <t>HELPER 2</t>
  </si>
  <si>
    <t>DESTINATION</t>
  </si>
  <si>
    <t>NO. OF TRIPS</t>
  </si>
  <si>
    <t>CITIES</t>
  </si>
  <si>
    <t>A. VERAN</t>
  </si>
  <si>
    <t>MAYOL</t>
  </si>
  <si>
    <t>RENREN</t>
  </si>
  <si>
    <t>ALEGRIA</t>
  </si>
  <si>
    <t>A. CALIPAY</t>
  </si>
  <si>
    <t>KODASTE</t>
  </si>
  <si>
    <t>JOED</t>
  </si>
  <si>
    <t>MINGLANILLA</t>
  </si>
  <si>
    <t>ARGAO</t>
  </si>
  <si>
    <t>ALCOY</t>
  </si>
  <si>
    <t>NAGA</t>
  </si>
  <si>
    <t>PINAMUNGAHAN</t>
  </si>
  <si>
    <t>MOALBOAL</t>
  </si>
  <si>
    <t>F. LAGUMBAY</t>
  </si>
  <si>
    <t>TEDEJAL</t>
  </si>
  <si>
    <t>UNABIA</t>
  </si>
  <si>
    <t>MANDAUE</t>
  </si>
  <si>
    <t>CEBU CITY</t>
  </si>
  <si>
    <t>CARMEN</t>
  </si>
  <si>
    <t>BADIAN</t>
  </si>
  <si>
    <t>DAANBANTAYAN</t>
  </si>
  <si>
    <t>DUMANJUG</t>
  </si>
  <si>
    <t>DALAGUETE</t>
  </si>
  <si>
    <t>DANAO</t>
  </si>
  <si>
    <t>BOGO</t>
  </si>
  <si>
    <t>TRANSFER</t>
  </si>
  <si>
    <t>BB</t>
  </si>
  <si>
    <t>FAST</t>
  </si>
  <si>
    <t>5G</t>
  </si>
  <si>
    <t>JSI</t>
  </si>
  <si>
    <t>LILOAN</t>
  </si>
  <si>
    <t>TALISAY</t>
  </si>
  <si>
    <t>CARCAR</t>
  </si>
  <si>
    <t>CAMAONGAY</t>
  </si>
  <si>
    <t>EMELIO</t>
  </si>
  <si>
    <t>RONQUILLO</t>
  </si>
  <si>
    <t>TOLEDO</t>
  </si>
  <si>
    <t>JOSEPH</t>
  </si>
  <si>
    <t>BARILI</t>
  </si>
  <si>
    <t>R. MATA</t>
  </si>
  <si>
    <t>EMILLIO</t>
  </si>
  <si>
    <t>JSI LILOAN</t>
  </si>
  <si>
    <t>JSI MAIN</t>
  </si>
  <si>
    <t>SAN REMEGIO</t>
  </si>
  <si>
    <t>MACTAN</t>
  </si>
  <si>
    <t>RONDA</t>
  </si>
  <si>
    <t>DROP-OFF</t>
  </si>
  <si>
    <t>-</t>
  </si>
  <si>
    <t>F. RONQUILIO</t>
  </si>
  <si>
    <t>BB5</t>
  </si>
  <si>
    <t>R. CAMAONGAY</t>
  </si>
  <si>
    <t>TEJEDAL</t>
  </si>
  <si>
    <t>JSI TAYUD</t>
  </si>
  <si>
    <t>???</t>
  </si>
  <si>
    <t>R. LABADIA</t>
  </si>
  <si>
    <t>MARLOU</t>
  </si>
  <si>
    <t>SHERWIN</t>
  </si>
  <si>
    <t>KAIZER</t>
  </si>
  <si>
    <t>LOUIE</t>
  </si>
  <si>
    <t>JOSHUA</t>
  </si>
  <si>
    <t>S. RODA</t>
  </si>
  <si>
    <t>LAURON</t>
  </si>
  <si>
    <t>CYRIL</t>
  </si>
  <si>
    <t>CLENT</t>
  </si>
  <si>
    <t>IRIL</t>
  </si>
  <si>
    <t>LOR</t>
  </si>
  <si>
    <t>EDWIN</t>
  </si>
  <si>
    <t>JUNPEE</t>
  </si>
  <si>
    <t>ARVIN</t>
  </si>
  <si>
    <t>J. LOPEZ</t>
  </si>
  <si>
    <t>REYMART</t>
  </si>
  <si>
    <t>MONCEDA</t>
  </si>
  <si>
    <t>ALOGIS</t>
  </si>
  <si>
    <t>BERBEN</t>
  </si>
  <si>
    <t>ONE SOURCE</t>
  </si>
  <si>
    <t>SUP</t>
  </si>
  <si>
    <t>JAYSON</t>
  </si>
  <si>
    <t>VFI</t>
  </si>
  <si>
    <t>JASON</t>
  </si>
  <si>
    <t>JUNJUN</t>
  </si>
  <si>
    <t>R. BABOR</t>
  </si>
  <si>
    <t>SON</t>
  </si>
  <si>
    <t>JOEL</t>
  </si>
  <si>
    <t>J. BALANSAG</t>
  </si>
  <si>
    <t>JOHNREY</t>
  </si>
  <si>
    <t>HIDILAO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</si>
</sst>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mmmm\ d\,\ yyyy"/>
    <numFmt numFmtId="166" formatCode="000000"/>
  </numFmts>
  <fonts count="8" x14ac:knownFonts="1">
    <font>
      <sz val="11"/>
      <color theme="1"/>
      <name val="Calibri"/>
      <family val="2"/>
      <scheme val="minor"/>
    </font>
    <font>
      <sz val="16"/>
      <color rgb="FFFF0000"/>
      <name val="Times New Roman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4472C4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62">
    <xf numFmtId="0" fontId="0" fillId="0" borderId="0" xfId="0" applyBorder="1"/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/>
    <xf numFmtId="165" fontId="0" fillId="0" borderId="0" xfId="0" applyNumberFormat="1" applyBorder="1"/>
    <xf numFmtId="0" fontId="3" fillId="0" borderId="3" xfId="0" applyFont="1" applyBorder="1" applyAlignment="1">
      <alignment horizontal="left"/>
    </xf>
    <xf numFmtId="3" fontId="3" fillId="0" borderId="3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3" fontId="4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left"/>
    </xf>
    <xf numFmtId="3" fontId="5" fillId="0" borderId="3" xfId="0" applyNumberFormat="1" applyFont="1" applyBorder="1" applyAlignment="1">
      <alignment horizontal="right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left"/>
    </xf>
    <xf numFmtId="3" fontId="7" fillId="0" borderId="1" xfId="0" applyNumberFormat="1" applyFont="1" applyAlignment="1">
      <alignment horizontal="right"/>
    </xf>
    <xf numFmtId="0" fontId="3" fillId="2" borderId="3" xfId="0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right"/>
    </xf>
    <xf numFmtId="0" fontId="3" fillId="2" borderId="9" xfId="0" applyFont="1" applyFill="1" applyBorder="1" applyAlignment="1">
      <alignment horizontal="left"/>
    </xf>
    <xf numFmtId="3" fontId="3" fillId="0" borderId="4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3" fontId="3" fillId="0" borderId="1" xfId="0" applyNumberFormat="1" applyFont="1" applyAlignment="1">
      <alignment horizontal="right"/>
    </xf>
    <xf numFmtId="3" fontId="3" fillId="0" borderId="3" xfId="0" applyNumberFormat="1" applyFont="1" applyBorder="1" applyAlignment="1">
      <alignment horizontal="left"/>
    </xf>
    <xf numFmtId="0" fontId="0" fillId="0" borderId="2" xfId="0" applyBorder="1"/>
    <xf numFmtId="164" fontId="3" fillId="0" borderId="3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right"/>
    </xf>
    <xf numFmtId="165" fontId="3" fillId="0" borderId="3" xfId="0" applyNumberFormat="1" applyFont="1" applyBorder="1" applyAlignment="1">
      <alignment horizontal="left"/>
    </xf>
    <xf numFmtId="165" fontId="3" fillId="0" borderId="3" xfId="0" applyNumberFormat="1" applyFont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0" fillId="0" borderId="11" xfId="0" applyBorder="1"/>
    <xf numFmtId="3" fontId="3" fillId="2" borderId="8" xfId="0" applyNumberFormat="1" applyFont="1" applyFill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164" fontId="2" fillId="0" borderId="1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/>
    <xf numFmtId="165" fontId="0" fillId="0" borderId="0" xfId="0" applyNumberFormat="1" applyBorder="1"/>
    <xf numFmtId="164" fontId="3" fillId="0" borderId="1" xfId="0" applyNumberFormat="1" applyFont="1" applyAlignment="1">
      <alignment horizontal="center"/>
    </xf>
    <xf numFmtId="165" fontId="3" fillId="2" borderId="8" xfId="0" applyNumberFormat="1" applyFont="1" applyFill="1" applyBorder="1" applyAlignment="1">
      <alignment horizontal="left"/>
    </xf>
    <xf numFmtId="164" fontId="1" fillId="0" borderId="1" xfId="0" applyNumberFormat="1" applyFont="1" applyAlignment="1">
      <alignment horizontal="center"/>
    </xf>
    <xf numFmtId="165" fontId="3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right"/>
    </xf>
    <xf numFmtId="0" fontId="0" fillId="0" borderId="6" xfId="0" applyBorder="1"/>
    <xf numFmtId="3" fontId="4" fillId="0" borderId="3" xfId="0" applyNumberFormat="1" applyFont="1" applyBorder="1" applyAlignment="1">
      <alignment horizontal="right"/>
    </xf>
    <xf numFmtId="3" fontId="0" fillId="0" borderId="1" xfId="0" applyNumberFormat="1"/>
    <xf numFmtId="165" fontId="3" fillId="0" borderId="1" xfId="0" applyNumberFormat="1" applyFont="1" applyAlignment="1">
      <alignment horizontal="left"/>
    </xf>
    <xf numFmtId="164" fontId="4" fillId="0" borderId="3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left"/>
    </xf>
    <xf numFmtId="165" fontId="4" fillId="0" borderId="3" xfId="0" applyNumberFormat="1" applyFont="1" applyBorder="1" applyAlignment="1">
      <alignment horizontal="left"/>
    </xf>
    <xf numFmtId="3" fontId="5" fillId="0" borderId="3" xfId="0" applyNumberFormat="1" applyFont="1" applyBorder="1" applyAlignment="1">
      <alignment horizontal="right"/>
    </xf>
    <xf numFmtId="165" fontId="5" fillId="0" borderId="3" xfId="0" applyNumberFormat="1" applyFont="1" applyBorder="1" applyAlignment="1">
      <alignment horizontal="left"/>
    </xf>
    <xf numFmtId="3" fontId="6" fillId="0" borderId="3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557"/>
  <sheetViews>
    <sheetView tabSelected="1" workbookViewId="0">
      <pane ySplit="6" topLeftCell="A372" activePane="bottomLeft" state="frozen"/>
      <selection pane="bottomLeft" activeCell="I382" sqref="I382"/>
    </sheetView>
  </sheetViews>
  <sheetFormatPr defaultRowHeight="14.4" x14ac:dyDescent="0.3"/>
  <cols>
    <col min="1" max="1" width="13.5546875" style="1" bestFit="1" customWidth="1"/>
    <col min="2" max="2" width="13.5546875" style="2" bestFit="1" customWidth="1"/>
    <col min="3" max="3" width="14.33203125" bestFit="1" customWidth="1"/>
    <col min="4" max="6" width="13.5546875" style="3" bestFit="1" customWidth="1"/>
    <col min="7" max="7" width="13.5546875" style="4" bestFit="1" customWidth="1"/>
    <col min="8" max="8" width="10.109375" style="4" bestFit="1" customWidth="1"/>
    <col min="9" max="9" width="13.33203125" bestFit="1" customWidth="1"/>
    <col min="10" max="11" width="13.5546875" bestFit="1" customWidth="1"/>
    <col min="12" max="12" width="24.33203125" bestFit="1" customWidth="1"/>
    <col min="13" max="13" width="13.5546875" style="3" bestFit="1" customWidth="1"/>
  </cols>
  <sheetData>
    <row r="1" spans="1:13" ht="18.75" customHeight="1" x14ac:dyDescent="0.4">
      <c r="A1" s="45" t="s">
        <v>0</v>
      </c>
      <c r="B1" s="39"/>
      <c r="C1" s="40"/>
      <c r="D1" s="41"/>
      <c r="E1" s="41"/>
      <c r="F1" s="41"/>
      <c r="G1" s="42"/>
      <c r="H1" s="42"/>
      <c r="I1" s="40"/>
      <c r="J1" s="40"/>
      <c r="K1" s="40"/>
    </row>
    <row r="2" spans="1:13" ht="18.75" customHeight="1" x14ac:dyDescent="0.3">
      <c r="A2" s="38" t="s">
        <v>1</v>
      </c>
      <c r="B2" s="39"/>
      <c r="C2" s="40"/>
      <c r="D2" s="41"/>
      <c r="E2" s="41"/>
      <c r="F2" s="41"/>
      <c r="G2" s="42"/>
      <c r="H2" s="42"/>
      <c r="I2" s="40"/>
      <c r="J2" s="40"/>
      <c r="K2" s="40"/>
    </row>
    <row r="3" spans="1:13" ht="18.75" customHeight="1" x14ac:dyDescent="0.3">
      <c r="A3" s="38" t="s">
        <v>2</v>
      </c>
      <c r="B3" s="39"/>
      <c r="C3" s="40"/>
      <c r="D3" s="41"/>
      <c r="E3" s="41"/>
      <c r="F3" s="41"/>
      <c r="G3" s="42"/>
      <c r="H3" s="42"/>
      <c r="I3" s="40"/>
      <c r="J3" s="40"/>
      <c r="K3" s="40"/>
    </row>
    <row r="4" spans="1:13" ht="18.75" customHeight="1" x14ac:dyDescent="0.3"/>
    <row r="5" spans="1:13" ht="18.75" customHeight="1" x14ac:dyDescent="0.3">
      <c r="A5" s="43" t="s">
        <v>3</v>
      </c>
      <c r="B5" s="39"/>
      <c r="C5" s="40"/>
      <c r="D5" s="41"/>
      <c r="E5" s="41"/>
      <c r="F5" s="41"/>
      <c r="G5" s="42"/>
      <c r="H5" s="42"/>
      <c r="I5" s="40"/>
      <c r="J5" s="40"/>
      <c r="K5" s="40"/>
    </row>
    <row r="6" spans="1:13" ht="18.75" customHeight="1" x14ac:dyDescent="0.3">
      <c r="A6" s="30" t="s">
        <v>4</v>
      </c>
      <c r="B6" s="29"/>
      <c r="C6" s="5" t="s">
        <v>5</v>
      </c>
      <c r="D6" s="6" t="s">
        <v>6</v>
      </c>
      <c r="E6" s="47" t="s">
        <v>7</v>
      </c>
      <c r="F6" s="29"/>
      <c r="G6" s="33" t="s">
        <v>8</v>
      </c>
      <c r="H6" s="29"/>
      <c r="I6" s="5" t="s">
        <v>9</v>
      </c>
      <c r="J6" s="5" t="s">
        <v>10</v>
      </c>
      <c r="K6" s="5" t="s">
        <v>11</v>
      </c>
      <c r="L6" s="15" t="s">
        <v>12</v>
      </c>
      <c r="M6" s="20" t="s">
        <v>13</v>
      </c>
    </row>
    <row r="7" spans="1:13" ht="18.75" customHeight="1" x14ac:dyDescent="0.3">
      <c r="A7" s="30">
        <v>2412</v>
      </c>
      <c r="B7" s="29"/>
      <c r="C7" s="5" t="s">
        <v>14</v>
      </c>
      <c r="D7" s="7">
        <v>411</v>
      </c>
      <c r="E7" s="31">
        <v>26998</v>
      </c>
      <c r="F7" s="29"/>
      <c r="G7" s="32">
        <v>45817</v>
      </c>
      <c r="H7" s="29"/>
      <c r="I7" s="5" t="s">
        <v>15</v>
      </c>
      <c r="J7" s="5" t="s">
        <v>16</v>
      </c>
      <c r="K7" s="5" t="s">
        <v>17</v>
      </c>
      <c r="L7" t="s">
        <v>18</v>
      </c>
      <c r="M7" s="21">
        <v>0</v>
      </c>
    </row>
    <row r="8" spans="1:13" ht="18.75" customHeight="1" x14ac:dyDescent="0.3">
      <c r="A8" s="30">
        <v>2413</v>
      </c>
      <c r="B8" s="29"/>
      <c r="C8" s="5" t="s">
        <v>14</v>
      </c>
      <c r="D8" s="7">
        <v>301</v>
      </c>
      <c r="E8" s="31">
        <v>29008</v>
      </c>
      <c r="F8" s="29"/>
      <c r="G8" s="32">
        <v>45818</v>
      </c>
      <c r="H8" s="29"/>
      <c r="I8" s="5" t="s">
        <v>19</v>
      </c>
      <c r="J8" s="5" t="s">
        <v>20</v>
      </c>
      <c r="K8" s="5" t="s">
        <v>21</v>
      </c>
      <c r="L8" t="s">
        <v>22</v>
      </c>
      <c r="M8" s="21">
        <v>0</v>
      </c>
    </row>
    <row r="9" spans="1:13" ht="18.75" customHeight="1" x14ac:dyDescent="0.3">
      <c r="A9" s="30">
        <v>2414</v>
      </c>
      <c r="B9" s="29"/>
      <c r="C9" s="5" t="s">
        <v>14</v>
      </c>
      <c r="D9" s="7">
        <v>342</v>
      </c>
      <c r="E9" s="31">
        <v>29017</v>
      </c>
      <c r="F9" s="29"/>
      <c r="G9" s="32">
        <v>45819</v>
      </c>
      <c r="H9" s="29"/>
      <c r="I9" s="5" t="s">
        <v>19</v>
      </c>
      <c r="J9" s="5" t="s">
        <v>20</v>
      </c>
      <c r="K9" s="5" t="s">
        <v>21</v>
      </c>
      <c r="L9" t="s">
        <v>23</v>
      </c>
      <c r="M9" s="21">
        <v>0</v>
      </c>
    </row>
    <row r="10" spans="1:13" ht="18.75" customHeight="1" x14ac:dyDescent="0.3">
      <c r="A10" s="30">
        <v>2409</v>
      </c>
      <c r="B10" s="29"/>
      <c r="C10" s="5" t="s">
        <v>14</v>
      </c>
      <c r="D10" s="7">
        <v>121</v>
      </c>
      <c r="E10" s="31">
        <v>29025</v>
      </c>
      <c r="F10" s="29"/>
      <c r="G10" s="32">
        <v>45820</v>
      </c>
      <c r="H10" s="29"/>
      <c r="I10" s="5" t="s">
        <v>19</v>
      </c>
      <c r="J10" s="5" t="s">
        <v>20</v>
      </c>
      <c r="K10" s="5" t="s">
        <v>21</v>
      </c>
      <c r="L10" t="s">
        <v>24</v>
      </c>
      <c r="M10" s="21">
        <v>0</v>
      </c>
    </row>
    <row r="11" spans="1:13" ht="18.75" customHeight="1" x14ac:dyDescent="0.3">
      <c r="A11" s="30">
        <v>2415</v>
      </c>
      <c r="B11" s="29"/>
      <c r="C11" s="5" t="s">
        <v>14</v>
      </c>
      <c r="D11" s="7">
        <v>347</v>
      </c>
      <c r="E11" s="31">
        <v>29034</v>
      </c>
      <c r="F11" s="29"/>
      <c r="G11" s="32">
        <v>45821</v>
      </c>
      <c r="H11" s="29"/>
      <c r="I11" s="5" t="s">
        <v>19</v>
      </c>
      <c r="J11" s="5" t="s">
        <v>20</v>
      </c>
      <c r="K11" s="5" t="s">
        <v>21</v>
      </c>
      <c r="L11" t="s">
        <v>25</v>
      </c>
      <c r="M11" s="21">
        <v>0</v>
      </c>
    </row>
    <row r="12" spans="1:13" ht="18.75" customHeight="1" x14ac:dyDescent="0.3">
      <c r="A12" s="30">
        <v>2416</v>
      </c>
      <c r="B12" s="29"/>
      <c r="C12" s="5" t="s">
        <v>14</v>
      </c>
      <c r="D12" s="7">
        <v>176</v>
      </c>
      <c r="E12" s="31">
        <v>29905</v>
      </c>
      <c r="F12" s="29"/>
      <c r="G12" s="32">
        <v>45818</v>
      </c>
      <c r="H12" s="29"/>
      <c r="I12" s="5" t="s">
        <v>15</v>
      </c>
      <c r="J12" s="5" t="s">
        <v>16</v>
      </c>
      <c r="K12" s="5" t="s">
        <v>17</v>
      </c>
      <c r="L12" t="s">
        <v>26</v>
      </c>
      <c r="M12" s="21">
        <v>0</v>
      </c>
    </row>
    <row r="13" spans="1:13" ht="18.75" customHeight="1" x14ac:dyDescent="0.3">
      <c r="A13" s="30">
        <v>2306</v>
      </c>
      <c r="B13" s="29"/>
      <c r="C13" s="5" t="s">
        <v>14</v>
      </c>
      <c r="D13" s="7">
        <v>492</v>
      </c>
      <c r="E13" s="31">
        <v>29015</v>
      </c>
      <c r="F13" s="29"/>
      <c r="G13" s="32">
        <v>45819</v>
      </c>
      <c r="H13" s="29"/>
      <c r="I13" s="5" t="s">
        <v>15</v>
      </c>
      <c r="J13" s="5" t="s">
        <v>16</v>
      </c>
      <c r="K13" s="5" t="s">
        <v>17</v>
      </c>
      <c r="L13" t="s">
        <v>25</v>
      </c>
      <c r="M13" s="21">
        <v>0</v>
      </c>
    </row>
    <row r="14" spans="1:13" ht="18.75" customHeight="1" x14ac:dyDescent="0.3">
      <c r="A14" s="30">
        <v>2055</v>
      </c>
      <c r="B14" s="29"/>
      <c r="C14" s="5" t="s">
        <v>14</v>
      </c>
      <c r="D14" s="7">
        <v>174</v>
      </c>
      <c r="E14" s="31">
        <v>29025</v>
      </c>
      <c r="F14" s="29"/>
      <c r="G14" s="32">
        <v>45820</v>
      </c>
      <c r="H14" s="29"/>
      <c r="I14" s="5" t="s">
        <v>15</v>
      </c>
      <c r="J14" s="5" t="s">
        <v>16</v>
      </c>
      <c r="K14" s="5" t="s">
        <v>17</v>
      </c>
      <c r="L14" t="s">
        <v>27</v>
      </c>
      <c r="M14" s="21">
        <v>0</v>
      </c>
    </row>
    <row r="15" spans="1:13" ht="18.75" customHeight="1" x14ac:dyDescent="0.3">
      <c r="A15" s="30">
        <v>2056</v>
      </c>
      <c r="B15" s="29"/>
      <c r="C15" s="5" t="s">
        <v>14</v>
      </c>
      <c r="D15" s="7">
        <v>415</v>
      </c>
      <c r="E15" s="31">
        <v>29033</v>
      </c>
      <c r="F15" s="29"/>
      <c r="G15" s="32">
        <v>45821</v>
      </c>
      <c r="H15" s="29"/>
      <c r="I15" s="5" t="s">
        <v>15</v>
      </c>
      <c r="J15" s="5" t="s">
        <v>16</v>
      </c>
      <c r="K15" s="5" t="s">
        <v>17</v>
      </c>
      <c r="L15" t="s">
        <v>26</v>
      </c>
      <c r="M15" s="21">
        <v>0</v>
      </c>
    </row>
    <row r="16" spans="1:13" ht="18.75" customHeight="1" x14ac:dyDescent="0.3">
      <c r="A16" s="30">
        <v>2057</v>
      </c>
      <c r="B16" s="29"/>
      <c r="C16" s="5" t="s">
        <v>14</v>
      </c>
      <c r="D16" s="7">
        <v>411</v>
      </c>
      <c r="E16" s="31">
        <v>29042</v>
      </c>
      <c r="F16" s="29"/>
      <c r="G16" s="32">
        <v>45822</v>
      </c>
      <c r="H16" s="29"/>
      <c r="I16" s="5" t="s">
        <v>15</v>
      </c>
      <c r="J16" s="5" t="s">
        <v>16</v>
      </c>
      <c r="K16" s="5" t="s">
        <v>17</v>
      </c>
      <c r="L16" t="s">
        <v>27</v>
      </c>
      <c r="M16" s="21">
        <v>0</v>
      </c>
    </row>
    <row r="17" spans="1:13" ht="18.75" customHeight="1" x14ac:dyDescent="0.3">
      <c r="A17" s="30">
        <v>2058</v>
      </c>
      <c r="B17" s="29"/>
      <c r="C17" s="5" t="s">
        <v>14</v>
      </c>
      <c r="D17" s="7">
        <v>288</v>
      </c>
      <c r="E17" s="31">
        <v>29068</v>
      </c>
      <c r="F17" s="29"/>
      <c r="G17" s="32">
        <v>45823</v>
      </c>
      <c r="H17" s="29"/>
      <c r="I17" s="5" t="s">
        <v>15</v>
      </c>
      <c r="J17" s="5" t="s">
        <v>16</v>
      </c>
      <c r="K17" s="5" t="s">
        <v>17</v>
      </c>
      <c r="L17" t="s">
        <v>26</v>
      </c>
      <c r="M17" s="21">
        <v>0</v>
      </c>
    </row>
    <row r="18" spans="1:13" ht="18.75" customHeight="1" x14ac:dyDescent="0.3">
      <c r="A18" s="30">
        <v>2059</v>
      </c>
      <c r="B18" s="29"/>
      <c r="C18" s="5" t="s">
        <v>14</v>
      </c>
      <c r="D18" s="7">
        <v>376</v>
      </c>
      <c r="E18" s="31">
        <v>26997</v>
      </c>
      <c r="F18" s="29"/>
      <c r="G18" s="32">
        <v>45817</v>
      </c>
      <c r="H18" s="29"/>
      <c r="I18" s="5" t="s">
        <v>28</v>
      </c>
      <c r="J18" s="5" t="s">
        <v>29</v>
      </c>
      <c r="K18" s="5" t="s">
        <v>30</v>
      </c>
      <c r="L18" t="s">
        <v>26</v>
      </c>
      <c r="M18" s="21">
        <v>0</v>
      </c>
    </row>
    <row r="19" spans="1:13" ht="18.75" customHeight="1" x14ac:dyDescent="0.3">
      <c r="A19" s="30">
        <v>2060</v>
      </c>
      <c r="B19" s="29"/>
      <c r="C19" s="5" t="s">
        <v>14</v>
      </c>
      <c r="D19" s="7">
        <v>550</v>
      </c>
      <c r="E19" s="31">
        <v>145324</v>
      </c>
      <c r="F19" s="29"/>
      <c r="G19" s="32">
        <v>45818</v>
      </c>
      <c r="H19" s="29"/>
      <c r="I19" s="5" t="s">
        <v>28</v>
      </c>
      <c r="J19" s="5" t="s">
        <v>29</v>
      </c>
      <c r="K19" s="5" t="s">
        <v>30</v>
      </c>
      <c r="L19" t="s">
        <v>31</v>
      </c>
      <c r="M19" s="21">
        <v>0</v>
      </c>
    </row>
    <row r="20" spans="1:13" ht="18.75" customHeight="1" x14ac:dyDescent="0.3">
      <c r="A20" s="30">
        <v>2061</v>
      </c>
      <c r="B20" s="29"/>
      <c r="C20" s="5" t="s">
        <v>14</v>
      </c>
      <c r="D20" s="7">
        <v>457</v>
      </c>
      <c r="E20" s="31">
        <v>29014</v>
      </c>
      <c r="F20" s="29"/>
      <c r="G20" s="32">
        <v>45819</v>
      </c>
      <c r="H20" s="29"/>
      <c r="I20" s="5" t="s">
        <v>28</v>
      </c>
      <c r="J20" s="5" t="s">
        <v>29</v>
      </c>
      <c r="K20" s="5" t="s">
        <v>30</v>
      </c>
      <c r="L20" t="s">
        <v>18</v>
      </c>
      <c r="M20" s="21">
        <v>0</v>
      </c>
    </row>
    <row r="21" spans="1:13" ht="18.75" customHeight="1" x14ac:dyDescent="0.3">
      <c r="A21" s="30">
        <v>2062</v>
      </c>
      <c r="B21" s="29"/>
      <c r="C21" s="5" t="s">
        <v>14</v>
      </c>
      <c r="D21" s="7">
        <v>198</v>
      </c>
      <c r="E21" s="31">
        <v>29023</v>
      </c>
      <c r="F21" s="29"/>
      <c r="G21" s="32">
        <v>45820</v>
      </c>
      <c r="H21" s="29"/>
      <c r="I21" s="5" t="s">
        <v>28</v>
      </c>
      <c r="J21" s="5" t="s">
        <v>29</v>
      </c>
      <c r="K21" s="5" t="s">
        <v>30</v>
      </c>
      <c r="L21" t="s">
        <v>26</v>
      </c>
      <c r="M21" s="21">
        <v>0</v>
      </c>
    </row>
    <row r="22" spans="1:13" ht="18.75" customHeight="1" x14ac:dyDescent="0.3">
      <c r="A22" s="30">
        <v>2063</v>
      </c>
      <c r="B22" s="29"/>
      <c r="C22" s="5" t="s">
        <v>14</v>
      </c>
      <c r="D22" s="7">
        <v>701</v>
      </c>
      <c r="E22" s="31">
        <v>29031</v>
      </c>
      <c r="F22" s="29"/>
      <c r="G22" s="32">
        <v>45821</v>
      </c>
      <c r="H22" s="29"/>
      <c r="I22" s="5" t="s">
        <v>28</v>
      </c>
      <c r="J22" s="5" t="s">
        <v>29</v>
      </c>
      <c r="K22" s="5" t="s">
        <v>30</v>
      </c>
      <c r="L22" t="s">
        <v>32</v>
      </c>
      <c r="M22" s="21">
        <v>0</v>
      </c>
    </row>
    <row r="23" spans="1:13" ht="18.75" customHeight="1" x14ac:dyDescent="0.3">
      <c r="A23" s="30">
        <v>2064</v>
      </c>
      <c r="B23" s="29"/>
      <c r="C23" s="5" t="s">
        <v>14</v>
      </c>
      <c r="D23" s="7">
        <v>721</v>
      </c>
      <c r="E23" s="31">
        <v>40686</v>
      </c>
      <c r="F23" s="29"/>
      <c r="G23" s="32">
        <v>45822</v>
      </c>
      <c r="H23" s="29"/>
      <c r="I23" s="5" t="s">
        <v>28</v>
      </c>
      <c r="J23" s="5" t="s">
        <v>29</v>
      </c>
      <c r="K23" s="5" t="s">
        <v>30</v>
      </c>
      <c r="L23" t="s">
        <v>32</v>
      </c>
      <c r="M23" s="21">
        <v>0</v>
      </c>
    </row>
    <row r="24" spans="1:13" ht="18.75" customHeight="1" x14ac:dyDescent="0.3">
      <c r="A24" s="30">
        <v>2065</v>
      </c>
      <c r="B24" s="29"/>
      <c r="C24" s="5" t="s">
        <v>14</v>
      </c>
      <c r="D24" s="7">
        <v>223</v>
      </c>
      <c r="E24" s="31">
        <v>29046</v>
      </c>
      <c r="F24" s="29"/>
      <c r="G24" s="32">
        <v>45822</v>
      </c>
      <c r="H24" s="29"/>
      <c r="I24" s="5" t="s">
        <v>28</v>
      </c>
      <c r="J24" s="5" t="s">
        <v>29</v>
      </c>
      <c r="K24" s="5" t="s">
        <v>30</v>
      </c>
      <c r="L24" t="s">
        <v>33</v>
      </c>
      <c r="M24" s="21">
        <v>0</v>
      </c>
    </row>
    <row r="25" spans="1:13" ht="18.75" customHeight="1" x14ac:dyDescent="0.3">
      <c r="A25" s="30">
        <v>2066</v>
      </c>
      <c r="B25" s="29"/>
      <c r="C25" s="5" t="s">
        <v>14</v>
      </c>
      <c r="D25" s="7">
        <v>602</v>
      </c>
      <c r="E25" s="31">
        <v>29067</v>
      </c>
      <c r="F25" s="29"/>
      <c r="G25" s="32">
        <v>45823</v>
      </c>
      <c r="H25" s="29"/>
      <c r="I25" s="5" t="s">
        <v>28</v>
      </c>
      <c r="J25" s="5" t="s">
        <v>29</v>
      </c>
      <c r="K25" s="5" t="s">
        <v>30</v>
      </c>
      <c r="L25" t="s">
        <v>32</v>
      </c>
      <c r="M25" s="21">
        <v>0</v>
      </c>
    </row>
    <row r="26" spans="1:13" ht="18.75" customHeight="1" x14ac:dyDescent="0.3">
      <c r="A26" s="30">
        <v>2067</v>
      </c>
      <c r="B26" s="29"/>
      <c r="C26" s="5" t="s">
        <v>14</v>
      </c>
      <c r="D26" s="7">
        <v>249</v>
      </c>
      <c r="E26" s="31">
        <v>29071</v>
      </c>
      <c r="F26" s="29"/>
      <c r="G26" s="32">
        <v>45823</v>
      </c>
      <c r="H26" s="29"/>
      <c r="I26" s="5" t="s">
        <v>19</v>
      </c>
      <c r="J26" s="5" t="s">
        <v>20</v>
      </c>
      <c r="K26" s="5" t="s">
        <v>21</v>
      </c>
      <c r="L26" t="s">
        <v>31</v>
      </c>
      <c r="M26" s="21">
        <v>0</v>
      </c>
    </row>
    <row r="27" spans="1:13" ht="18.75" customHeight="1" x14ac:dyDescent="0.3">
      <c r="A27" s="30">
        <v>2068</v>
      </c>
      <c r="B27" s="29"/>
      <c r="C27" s="5" t="s">
        <v>14</v>
      </c>
      <c r="D27" s="7">
        <f>257+109</f>
        <v>366</v>
      </c>
      <c r="E27" s="31">
        <v>145369</v>
      </c>
      <c r="F27" s="29"/>
      <c r="G27" s="32">
        <v>45821</v>
      </c>
      <c r="H27" s="29"/>
      <c r="I27" s="5" t="s">
        <v>19</v>
      </c>
      <c r="J27" s="5" t="s">
        <v>20</v>
      </c>
      <c r="K27" s="5" t="s">
        <v>21</v>
      </c>
      <c r="L27" s="15" t="s">
        <v>34</v>
      </c>
      <c r="M27" s="21">
        <v>0</v>
      </c>
    </row>
    <row r="28" spans="1:13" ht="18.75" customHeight="1" x14ac:dyDescent="0.3">
      <c r="A28" s="30">
        <v>2069</v>
      </c>
      <c r="B28" s="29"/>
      <c r="C28" s="5" t="s">
        <v>14</v>
      </c>
      <c r="D28" s="7">
        <v>321</v>
      </c>
      <c r="E28" s="31">
        <v>29127</v>
      </c>
      <c r="F28" s="29"/>
      <c r="G28" s="32">
        <v>45824</v>
      </c>
      <c r="H28" s="29"/>
      <c r="I28" s="5" t="s">
        <v>19</v>
      </c>
      <c r="J28" s="5" t="s">
        <v>20</v>
      </c>
      <c r="K28" s="5" t="s">
        <v>21</v>
      </c>
      <c r="L28" t="s">
        <v>31</v>
      </c>
      <c r="M28" s="21">
        <v>0</v>
      </c>
    </row>
    <row r="29" spans="1:13" ht="18.75" customHeight="1" x14ac:dyDescent="0.3">
      <c r="A29" s="30">
        <v>2070</v>
      </c>
      <c r="B29" s="29"/>
      <c r="C29" s="5" t="s">
        <v>14</v>
      </c>
      <c r="D29" s="7">
        <v>426</v>
      </c>
      <c r="E29" s="31">
        <v>29103</v>
      </c>
      <c r="F29" s="29"/>
      <c r="G29" s="32">
        <v>45824</v>
      </c>
      <c r="H29" s="29"/>
      <c r="I29" s="5" t="s">
        <v>19</v>
      </c>
      <c r="J29" s="5" t="s">
        <v>20</v>
      </c>
      <c r="K29" s="5" t="s">
        <v>21</v>
      </c>
      <c r="L29" t="s">
        <v>33</v>
      </c>
      <c r="M29" s="21">
        <v>0</v>
      </c>
    </row>
    <row r="30" spans="1:13" ht="18.75" customHeight="1" x14ac:dyDescent="0.3">
      <c r="A30" s="30">
        <v>2071</v>
      </c>
      <c r="B30" s="29"/>
      <c r="C30" s="5" t="s">
        <v>14</v>
      </c>
      <c r="D30" s="7">
        <v>265</v>
      </c>
      <c r="E30" s="31">
        <v>145444</v>
      </c>
      <c r="F30" s="29"/>
      <c r="G30" s="32">
        <v>45826</v>
      </c>
      <c r="H30" s="29"/>
      <c r="I30" s="5" t="s">
        <v>19</v>
      </c>
      <c r="J30" s="5" t="s">
        <v>20</v>
      </c>
      <c r="K30" s="5" t="s">
        <v>21</v>
      </c>
      <c r="L30" t="s">
        <v>32</v>
      </c>
      <c r="M30" s="21">
        <v>0</v>
      </c>
    </row>
    <row r="31" spans="1:13" ht="18.75" customHeight="1" x14ac:dyDescent="0.3">
      <c r="A31" s="30">
        <v>2072</v>
      </c>
      <c r="B31" s="29"/>
      <c r="C31" s="5" t="s">
        <v>14</v>
      </c>
      <c r="D31" s="7">
        <v>453</v>
      </c>
      <c r="E31" s="31">
        <v>29155</v>
      </c>
      <c r="F31" s="29"/>
      <c r="G31" s="32">
        <v>45826</v>
      </c>
      <c r="H31" s="29"/>
      <c r="I31" s="5" t="s">
        <v>19</v>
      </c>
      <c r="J31" s="5" t="s">
        <v>20</v>
      </c>
      <c r="K31" s="5" t="s">
        <v>21</v>
      </c>
      <c r="L31" t="s">
        <v>25</v>
      </c>
      <c r="M31" s="21">
        <v>0</v>
      </c>
    </row>
    <row r="32" spans="1:13" ht="18.75" customHeight="1" x14ac:dyDescent="0.3">
      <c r="A32" s="30">
        <v>2073</v>
      </c>
      <c r="B32" s="29"/>
      <c r="C32" s="5" t="s">
        <v>14</v>
      </c>
      <c r="D32" s="7">
        <v>298</v>
      </c>
      <c r="E32" s="31">
        <v>29171</v>
      </c>
      <c r="F32" s="29"/>
      <c r="G32" s="32">
        <v>45827</v>
      </c>
      <c r="H32" s="29"/>
      <c r="I32" s="5" t="s">
        <v>19</v>
      </c>
      <c r="J32" s="5" t="s">
        <v>20</v>
      </c>
      <c r="K32" s="5" t="s">
        <v>21</v>
      </c>
      <c r="L32" t="s">
        <v>27</v>
      </c>
      <c r="M32" s="21">
        <v>0</v>
      </c>
    </row>
    <row r="33" spans="1:13" ht="18.75" customHeight="1" x14ac:dyDescent="0.3">
      <c r="A33" s="30">
        <v>2074</v>
      </c>
      <c r="B33" s="29"/>
      <c r="C33" s="5" t="s">
        <v>14</v>
      </c>
      <c r="D33" s="7">
        <v>294</v>
      </c>
      <c r="E33" s="31">
        <v>29178</v>
      </c>
      <c r="F33" s="29"/>
      <c r="G33" s="32">
        <v>45828</v>
      </c>
      <c r="H33" s="29"/>
      <c r="I33" s="5" t="s">
        <v>19</v>
      </c>
      <c r="J33" s="5" t="s">
        <v>20</v>
      </c>
      <c r="K33" s="5" t="s">
        <v>21</v>
      </c>
      <c r="L33" t="s">
        <v>26</v>
      </c>
      <c r="M33" s="21">
        <v>0</v>
      </c>
    </row>
    <row r="34" spans="1:13" ht="18.75" customHeight="1" x14ac:dyDescent="0.3">
      <c r="A34" s="30">
        <v>2075</v>
      </c>
      <c r="B34" s="29"/>
      <c r="C34" s="5" t="s">
        <v>14</v>
      </c>
      <c r="D34" s="7">
        <v>570</v>
      </c>
      <c r="E34" s="31">
        <v>29049</v>
      </c>
      <c r="F34" s="29"/>
      <c r="G34" s="32">
        <v>45824</v>
      </c>
      <c r="H34" s="29"/>
      <c r="I34" s="5" t="s">
        <v>15</v>
      </c>
      <c r="J34" s="5" t="s">
        <v>16</v>
      </c>
      <c r="K34" s="5" t="s">
        <v>17</v>
      </c>
      <c r="L34" t="s">
        <v>25</v>
      </c>
      <c r="M34" s="21">
        <v>0</v>
      </c>
    </row>
    <row r="35" spans="1:13" ht="18.75" customHeight="1" x14ac:dyDescent="0.3">
      <c r="A35" s="30">
        <v>2076</v>
      </c>
      <c r="B35" s="29"/>
      <c r="C35" s="5" t="s">
        <v>14</v>
      </c>
      <c r="D35" s="7">
        <v>494</v>
      </c>
      <c r="E35" s="31">
        <v>29186</v>
      </c>
      <c r="F35" s="29"/>
      <c r="G35" s="32">
        <v>45828</v>
      </c>
      <c r="H35" s="29"/>
      <c r="I35" s="5" t="s">
        <v>15</v>
      </c>
      <c r="J35" s="5" t="s">
        <v>16</v>
      </c>
      <c r="K35" s="5" t="s">
        <v>17</v>
      </c>
      <c r="L35" t="s">
        <v>23</v>
      </c>
      <c r="M35" s="21">
        <v>0</v>
      </c>
    </row>
    <row r="36" spans="1:13" ht="18.75" customHeight="1" x14ac:dyDescent="0.3">
      <c r="A36" s="30">
        <v>2077</v>
      </c>
      <c r="B36" s="29"/>
      <c r="C36" s="5" t="s">
        <v>14</v>
      </c>
      <c r="D36" s="7">
        <v>214</v>
      </c>
      <c r="E36" s="31">
        <v>29122</v>
      </c>
      <c r="F36" s="29"/>
      <c r="G36" s="32">
        <v>45829</v>
      </c>
      <c r="H36" s="29"/>
      <c r="I36" s="5" t="s">
        <v>15</v>
      </c>
      <c r="J36" s="5" t="s">
        <v>16</v>
      </c>
      <c r="K36" s="5" t="s">
        <v>17</v>
      </c>
      <c r="L36" t="s">
        <v>24</v>
      </c>
      <c r="M36" s="21">
        <v>0</v>
      </c>
    </row>
    <row r="37" spans="1:13" ht="18.75" customHeight="1" x14ac:dyDescent="0.3">
      <c r="A37" s="30">
        <v>2078</v>
      </c>
      <c r="B37" s="29"/>
      <c r="C37" s="5" t="s">
        <v>14</v>
      </c>
      <c r="D37" s="7">
        <v>529</v>
      </c>
      <c r="E37" s="31">
        <v>29123</v>
      </c>
      <c r="F37" s="29"/>
      <c r="G37" s="32">
        <v>45824</v>
      </c>
      <c r="H37" s="29"/>
      <c r="I37" s="5" t="s">
        <v>28</v>
      </c>
      <c r="J37" s="5" t="s">
        <v>29</v>
      </c>
      <c r="K37" s="5" t="s">
        <v>30</v>
      </c>
      <c r="L37" t="s">
        <v>27</v>
      </c>
      <c r="M37" s="21">
        <v>0</v>
      </c>
    </row>
    <row r="38" spans="1:13" ht="18.75" customHeight="1" x14ac:dyDescent="0.3">
      <c r="A38" s="30">
        <v>2079</v>
      </c>
      <c r="B38" s="29"/>
      <c r="C38" s="5" t="s">
        <v>14</v>
      </c>
      <c r="D38" s="7">
        <v>441</v>
      </c>
      <c r="E38" s="31">
        <v>29101</v>
      </c>
      <c r="F38" s="29"/>
      <c r="G38" s="32">
        <v>45824</v>
      </c>
      <c r="H38" s="29"/>
      <c r="I38" s="5" t="s">
        <v>28</v>
      </c>
      <c r="J38" s="5" t="s">
        <v>29</v>
      </c>
      <c r="K38" s="5" t="s">
        <v>30</v>
      </c>
      <c r="L38" t="s">
        <v>26</v>
      </c>
      <c r="M38" s="21">
        <v>0</v>
      </c>
    </row>
    <row r="39" spans="1:13" ht="18.75" customHeight="1" x14ac:dyDescent="0.3">
      <c r="A39" s="30">
        <v>2080</v>
      </c>
      <c r="B39" s="29"/>
      <c r="C39" s="5" t="s">
        <v>14</v>
      </c>
      <c r="D39" s="7">
        <v>682</v>
      </c>
      <c r="E39" s="31">
        <v>29158</v>
      </c>
      <c r="F39" s="29"/>
      <c r="G39" s="32">
        <v>45826</v>
      </c>
      <c r="H39" s="29"/>
      <c r="I39" s="5" t="s">
        <v>28</v>
      </c>
      <c r="J39" s="5" t="s">
        <v>29</v>
      </c>
      <c r="K39" s="5" t="s">
        <v>30</v>
      </c>
      <c r="L39" t="s">
        <v>26</v>
      </c>
      <c r="M39" s="21">
        <v>0</v>
      </c>
    </row>
    <row r="40" spans="1:13" ht="18.75" customHeight="1" x14ac:dyDescent="0.3">
      <c r="A40" s="30">
        <v>2081</v>
      </c>
      <c r="B40" s="29"/>
      <c r="C40" s="5" t="s">
        <v>14</v>
      </c>
      <c r="D40" s="7">
        <v>446</v>
      </c>
      <c r="E40" s="31">
        <v>29169</v>
      </c>
      <c r="F40" s="29"/>
      <c r="G40" s="32">
        <v>45827</v>
      </c>
      <c r="H40" s="29"/>
      <c r="I40" s="5" t="s">
        <v>28</v>
      </c>
      <c r="J40" s="5" t="s">
        <v>29</v>
      </c>
      <c r="K40" s="5" t="s">
        <v>30</v>
      </c>
      <c r="L40" t="s">
        <v>26</v>
      </c>
      <c r="M40" s="21">
        <v>0</v>
      </c>
    </row>
    <row r="41" spans="1:13" ht="18.75" customHeight="1" x14ac:dyDescent="0.3">
      <c r="A41" s="30">
        <v>2082</v>
      </c>
      <c r="B41" s="29"/>
      <c r="C41" s="5" t="s">
        <v>14</v>
      </c>
      <c r="D41" s="7">
        <v>412</v>
      </c>
      <c r="E41" s="31">
        <v>29179</v>
      </c>
      <c r="F41" s="29"/>
      <c r="G41" s="32">
        <v>45828</v>
      </c>
      <c r="H41" s="29"/>
      <c r="I41" s="5" t="s">
        <v>28</v>
      </c>
      <c r="J41" s="5" t="s">
        <v>29</v>
      </c>
      <c r="K41" s="5" t="s">
        <v>30</v>
      </c>
      <c r="L41" t="s">
        <v>18</v>
      </c>
      <c r="M41" s="21">
        <v>0</v>
      </c>
    </row>
    <row r="42" spans="1:13" ht="18.75" customHeight="1" x14ac:dyDescent="0.3">
      <c r="A42" s="30">
        <v>2083</v>
      </c>
      <c r="B42" s="29"/>
      <c r="C42" s="5" t="s">
        <v>14</v>
      </c>
      <c r="D42" s="7">
        <v>620</v>
      </c>
      <c r="E42" s="31">
        <v>29187</v>
      </c>
      <c r="F42" s="29"/>
      <c r="G42" s="32">
        <v>45829</v>
      </c>
      <c r="H42" s="29"/>
      <c r="I42" s="5" t="s">
        <v>28</v>
      </c>
      <c r="J42" s="5" t="s">
        <v>29</v>
      </c>
      <c r="K42" s="5" t="s">
        <v>30</v>
      </c>
      <c r="L42" t="s">
        <v>32</v>
      </c>
      <c r="M42" s="21">
        <v>0</v>
      </c>
    </row>
    <row r="43" spans="1:13" ht="18.75" customHeight="1" x14ac:dyDescent="0.3">
      <c r="A43" s="30">
        <v>2084</v>
      </c>
      <c r="B43" s="29"/>
      <c r="C43" s="5" t="s">
        <v>14</v>
      </c>
      <c r="D43" s="7">
        <v>118</v>
      </c>
      <c r="E43" s="31">
        <v>123082</v>
      </c>
      <c r="F43" s="29"/>
      <c r="G43" s="32">
        <v>45829</v>
      </c>
      <c r="H43" s="29"/>
      <c r="I43" s="5" t="s">
        <v>28</v>
      </c>
      <c r="J43" s="5" t="s">
        <v>29</v>
      </c>
      <c r="K43" s="5" t="s">
        <v>30</v>
      </c>
      <c r="L43" t="s">
        <v>35</v>
      </c>
      <c r="M43" s="21">
        <v>0</v>
      </c>
    </row>
    <row r="44" spans="1:13" ht="18.75" customHeight="1" x14ac:dyDescent="0.3">
      <c r="A44" s="34">
        <v>2085</v>
      </c>
      <c r="B44" s="35"/>
      <c r="C44" s="22" t="s">
        <v>14</v>
      </c>
      <c r="D44" s="23">
        <v>524</v>
      </c>
      <c r="E44" s="36">
        <v>29201</v>
      </c>
      <c r="F44" s="35"/>
      <c r="G44" s="44">
        <v>45831</v>
      </c>
      <c r="H44" s="35"/>
      <c r="I44" s="22" t="s">
        <v>28</v>
      </c>
      <c r="J44" s="22" t="s">
        <v>29</v>
      </c>
      <c r="K44" s="22" t="s">
        <v>30</v>
      </c>
      <c r="L44" s="24" t="s">
        <v>25</v>
      </c>
      <c r="M44" s="21">
        <v>0</v>
      </c>
    </row>
    <row r="45" spans="1:13" ht="18.75" customHeight="1" x14ac:dyDescent="0.3">
      <c r="A45" s="34">
        <v>2086</v>
      </c>
      <c r="B45" s="35"/>
      <c r="C45" s="22" t="s">
        <v>14</v>
      </c>
      <c r="D45" s="23">
        <v>346</v>
      </c>
      <c r="E45" s="36">
        <v>29218</v>
      </c>
      <c r="F45" s="35"/>
      <c r="G45" s="44">
        <v>45832</v>
      </c>
      <c r="H45" s="35"/>
      <c r="I45" s="22" t="s">
        <v>28</v>
      </c>
      <c r="J45" s="22" t="s">
        <v>29</v>
      </c>
      <c r="K45" s="22" t="s">
        <v>30</v>
      </c>
      <c r="L45" s="24" t="s">
        <v>26</v>
      </c>
      <c r="M45" s="21">
        <v>0</v>
      </c>
    </row>
    <row r="46" spans="1:13" ht="18.75" customHeight="1" x14ac:dyDescent="0.3">
      <c r="A46" s="34">
        <v>2087</v>
      </c>
      <c r="B46" s="35"/>
      <c r="C46" s="22" t="s">
        <v>14</v>
      </c>
      <c r="D46" s="23">
        <v>576</v>
      </c>
      <c r="E46" s="36">
        <v>29218</v>
      </c>
      <c r="F46" s="35"/>
      <c r="G46" s="44">
        <v>45833</v>
      </c>
      <c r="H46" s="35"/>
      <c r="I46" s="22" t="s">
        <v>28</v>
      </c>
      <c r="J46" s="22" t="s">
        <v>29</v>
      </c>
      <c r="K46" s="22" t="s">
        <v>30</v>
      </c>
      <c r="L46" s="24" t="s">
        <v>18</v>
      </c>
      <c r="M46" s="21">
        <v>0</v>
      </c>
    </row>
    <row r="47" spans="1:13" ht="18.75" customHeight="1" x14ac:dyDescent="0.3">
      <c r="A47" s="34">
        <v>2088</v>
      </c>
      <c r="B47" s="35"/>
      <c r="C47" s="22" t="s">
        <v>14</v>
      </c>
      <c r="D47" s="23">
        <v>555</v>
      </c>
      <c r="E47" s="36">
        <v>29200</v>
      </c>
      <c r="F47" s="35"/>
      <c r="G47" s="44">
        <v>45831</v>
      </c>
      <c r="H47" s="35"/>
      <c r="I47" s="22" t="s">
        <v>15</v>
      </c>
      <c r="J47" s="22" t="s">
        <v>16</v>
      </c>
      <c r="K47" s="22" t="s">
        <v>17</v>
      </c>
      <c r="L47" s="24" t="s">
        <v>18</v>
      </c>
      <c r="M47" s="21">
        <v>0</v>
      </c>
    </row>
    <row r="48" spans="1:13" ht="18.75" customHeight="1" x14ac:dyDescent="0.3">
      <c r="A48" s="34">
        <v>2089</v>
      </c>
      <c r="B48" s="35"/>
      <c r="C48" s="22" t="s">
        <v>14</v>
      </c>
      <c r="D48" s="23">
        <v>398</v>
      </c>
      <c r="E48" s="36">
        <v>29212</v>
      </c>
      <c r="F48" s="35"/>
      <c r="G48" s="44">
        <v>45832</v>
      </c>
      <c r="H48" s="35"/>
      <c r="I48" s="22" t="s">
        <v>15</v>
      </c>
      <c r="J48" s="22" t="s">
        <v>16</v>
      </c>
      <c r="K48" s="22" t="s">
        <v>17</v>
      </c>
      <c r="L48" s="24" t="s">
        <v>36</v>
      </c>
      <c r="M48" s="21">
        <v>0</v>
      </c>
    </row>
    <row r="49" spans="1:13" ht="18.75" customHeight="1" x14ac:dyDescent="0.3">
      <c r="A49" s="34">
        <v>2090</v>
      </c>
      <c r="B49" s="35"/>
      <c r="C49" s="22" t="s">
        <v>14</v>
      </c>
      <c r="D49" s="23">
        <v>524</v>
      </c>
      <c r="E49" s="36">
        <v>29219</v>
      </c>
      <c r="F49" s="35"/>
      <c r="G49" s="44">
        <v>45833</v>
      </c>
      <c r="H49" s="35"/>
      <c r="I49" s="22" t="s">
        <v>15</v>
      </c>
      <c r="J49" s="22" t="s">
        <v>16</v>
      </c>
      <c r="K49" s="22" t="s">
        <v>17</v>
      </c>
      <c r="L49" s="24" t="s">
        <v>25</v>
      </c>
      <c r="M49" s="21">
        <v>0</v>
      </c>
    </row>
    <row r="50" spans="1:13" ht="18.75" customHeight="1" x14ac:dyDescent="0.3">
      <c r="A50" s="34">
        <v>2091</v>
      </c>
      <c r="B50" s="35"/>
      <c r="C50" s="22" t="s">
        <v>14</v>
      </c>
      <c r="D50" s="23">
        <v>316</v>
      </c>
      <c r="E50" s="36">
        <v>29231</v>
      </c>
      <c r="F50" s="35"/>
      <c r="G50" s="44">
        <v>45834</v>
      </c>
      <c r="H50" s="35"/>
      <c r="I50" s="22" t="s">
        <v>15</v>
      </c>
      <c r="J50" s="22" t="s">
        <v>16</v>
      </c>
      <c r="K50" s="22" t="s">
        <v>17</v>
      </c>
      <c r="L50" t="s">
        <v>24</v>
      </c>
      <c r="M50" s="21">
        <v>0</v>
      </c>
    </row>
    <row r="51" spans="1:13" ht="18.75" customHeight="1" x14ac:dyDescent="0.3">
      <c r="A51" s="34">
        <v>2092</v>
      </c>
      <c r="B51" s="35"/>
      <c r="C51" s="22" t="s">
        <v>14</v>
      </c>
      <c r="D51" s="23">
        <v>359</v>
      </c>
      <c r="E51" s="36">
        <v>29243</v>
      </c>
      <c r="F51" s="35"/>
      <c r="G51" s="44">
        <v>45835</v>
      </c>
      <c r="H51" s="35"/>
      <c r="I51" s="22" t="s">
        <v>15</v>
      </c>
      <c r="J51" s="22" t="s">
        <v>16</v>
      </c>
      <c r="K51" s="22" t="s">
        <v>17</v>
      </c>
      <c r="L51" t="s">
        <v>37</v>
      </c>
      <c r="M51" s="21">
        <v>0</v>
      </c>
    </row>
    <row r="52" spans="1:13" ht="18.75" customHeight="1" x14ac:dyDescent="0.3">
      <c r="A52" s="34">
        <v>2093</v>
      </c>
      <c r="B52" s="35"/>
      <c r="C52" s="22" t="s">
        <v>14</v>
      </c>
      <c r="D52" s="23">
        <v>207</v>
      </c>
      <c r="E52" s="36">
        <v>29232</v>
      </c>
      <c r="F52" s="35"/>
      <c r="G52" s="44">
        <v>45834</v>
      </c>
      <c r="H52" s="35"/>
      <c r="I52" s="22" t="s">
        <v>28</v>
      </c>
      <c r="J52" s="22" t="s">
        <v>29</v>
      </c>
      <c r="K52" s="22" t="s">
        <v>30</v>
      </c>
      <c r="L52" t="s">
        <v>34</v>
      </c>
      <c r="M52" s="21">
        <v>0</v>
      </c>
    </row>
    <row r="53" spans="1:13" ht="18.75" customHeight="1" x14ac:dyDescent="0.3">
      <c r="A53" s="34">
        <v>2094</v>
      </c>
      <c r="B53" s="35"/>
      <c r="C53" s="22" t="s">
        <v>14</v>
      </c>
      <c r="D53" s="23">
        <v>283</v>
      </c>
      <c r="E53" s="36">
        <v>29239</v>
      </c>
      <c r="F53" s="35"/>
      <c r="G53" s="44">
        <v>45835</v>
      </c>
      <c r="H53" s="35"/>
      <c r="I53" s="22" t="s">
        <v>28</v>
      </c>
      <c r="J53" s="22" t="s">
        <v>29</v>
      </c>
      <c r="K53" s="22" t="s">
        <v>30</v>
      </c>
      <c r="L53" t="s">
        <v>26</v>
      </c>
      <c r="M53" s="21">
        <v>0</v>
      </c>
    </row>
    <row r="54" spans="1:13" ht="18.75" customHeight="1" x14ac:dyDescent="0.3">
      <c r="A54" s="34">
        <v>2095</v>
      </c>
      <c r="B54" s="35"/>
      <c r="C54" s="22" t="s">
        <v>14</v>
      </c>
      <c r="D54" s="23">
        <v>406</v>
      </c>
      <c r="E54" s="36">
        <v>29249</v>
      </c>
      <c r="F54" s="35"/>
      <c r="G54" s="44">
        <v>45836</v>
      </c>
      <c r="H54" s="35"/>
      <c r="I54" s="22" t="s">
        <v>28</v>
      </c>
      <c r="J54" s="22" t="s">
        <v>29</v>
      </c>
      <c r="K54" s="22" t="s">
        <v>30</v>
      </c>
      <c r="L54" t="s">
        <v>35</v>
      </c>
      <c r="M54" s="21">
        <v>0</v>
      </c>
    </row>
    <row r="55" spans="1:13" ht="18.75" customHeight="1" x14ac:dyDescent="0.3">
      <c r="A55" s="34">
        <v>2096</v>
      </c>
      <c r="B55" s="35"/>
      <c r="C55" s="22" t="s">
        <v>14</v>
      </c>
      <c r="D55" s="23">
        <v>474</v>
      </c>
      <c r="E55" s="36">
        <v>40978</v>
      </c>
      <c r="F55" s="35"/>
      <c r="G55" s="44">
        <v>45838</v>
      </c>
      <c r="H55" s="35"/>
      <c r="I55" s="22" t="s">
        <v>15</v>
      </c>
      <c r="J55" s="22" t="s">
        <v>16</v>
      </c>
      <c r="K55" s="22" t="s">
        <v>17</v>
      </c>
      <c r="L55" s="24" t="s">
        <v>38</v>
      </c>
      <c r="M55" s="21">
        <v>0</v>
      </c>
    </row>
    <row r="56" spans="1:13" ht="18.75" customHeight="1" x14ac:dyDescent="0.3">
      <c r="A56" s="34">
        <v>2097</v>
      </c>
      <c r="B56" s="35"/>
      <c r="C56" s="22" t="s">
        <v>14</v>
      </c>
      <c r="D56" s="23">
        <v>262</v>
      </c>
      <c r="E56" s="36">
        <v>29268</v>
      </c>
      <c r="F56" s="35"/>
      <c r="G56" s="44">
        <v>45839</v>
      </c>
      <c r="H56" s="35"/>
      <c r="I56" s="22" t="s">
        <v>15</v>
      </c>
      <c r="J56" s="22" t="s">
        <v>16</v>
      </c>
      <c r="K56" s="22" t="s">
        <v>17</v>
      </c>
      <c r="L56" s="24" t="s">
        <v>24</v>
      </c>
      <c r="M56" s="21">
        <v>0</v>
      </c>
    </row>
    <row r="57" spans="1:13" ht="18.75" customHeight="1" x14ac:dyDescent="0.3">
      <c r="A57" s="34">
        <v>2098</v>
      </c>
      <c r="B57" s="35"/>
      <c r="C57" s="22" t="s">
        <v>14</v>
      </c>
      <c r="D57" s="23">
        <v>473</v>
      </c>
      <c r="E57" s="36">
        <v>40974</v>
      </c>
      <c r="F57" s="35"/>
      <c r="G57" s="44">
        <v>45838</v>
      </c>
      <c r="H57" s="35"/>
      <c r="I57" s="22" t="s">
        <v>28</v>
      </c>
      <c r="J57" s="22" t="s">
        <v>29</v>
      </c>
      <c r="K57" s="22" t="s">
        <v>30</v>
      </c>
      <c r="L57" s="24" t="s">
        <v>25</v>
      </c>
      <c r="M57" s="21">
        <v>0</v>
      </c>
    </row>
    <row r="58" spans="1:13" ht="18.75" customHeight="1" x14ac:dyDescent="0.3">
      <c r="A58" s="34">
        <v>2099</v>
      </c>
      <c r="B58" s="35"/>
      <c r="C58" s="22" t="s">
        <v>14</v>
      </c>
      <c r="D58" s="23">
        <v>425</v>
      </c>
      <c r="E58" s="36">
        <v>29267</v>
      </c>
      <c r="F58" s="35"/>
      <c r="G58" s="44">
        <v>45839</v>
      </c>
      <c r="H58" s="35"/>
      <c r="I58" s="22" t="s">
        <v>28</v>
      </c>
      <c r="J58" s="22" t="s">
        <v>29</v>
      </c>
      <c r="K58" s="22" t="s">
        <v>30</v>
      </c>
      <c r="L58" s="24" t="s">
        <v>26</v>
      </c>
      <c r="M58" s="21">
        <v>0</v>
      </c>
    </row>
    <row r="59" spans="1:13" ht="18.75" customHeight="1" x14ac:dyDescent="0.3">
      <c r="A59" s="30">
        <v>2100</v>
      </c>
      <c r="B59" s="29"/>
      <c r="C59" s="22" t="s">
        <v>14</v>
      </c>
      <c r="D59" s="7">
        <v>372</v>
      </c>
      <c r="E59" s="31">
        <v>29280</v>
      </c>
      <c r="F59" s="29"/>
      <c r="G59" s="32">
        <v>45840</v>
      </c>
      <c r="H59" s="29"/>
      <c r="I59" s="22" t="s">
        <v>15</v>
      </c>
      <c r="J59" s="22" t="s">
        <v>16</v>
      </c>
      <c r="K59" s="22" t="s">
        <v>17</v>
      </c>
      <c r="L59" t="s">
        <v>35</v>
      </c>
      <c r="M59" s="21">
        <v>0</v>
      </c>
    </row>
    <row r="60" spans="1:13" ht="18.75" customHeight="1" x14ac:dyDescent="0.3">
      <c r="A60" s="30">
        <v>2101</v>
      </c>
      <c r="B60" s="29"/>
      <c r="C60" s="22" t="s">
        <v>14</v>
      </c>
      <c r="D60" s="7">
        <v>262</v>
      </c>
      <c r="E60" s="31">
        <v>29289</v>
      </c>
      <c r="F60" s="29"/>
      <c r="G60" s="32">
        <v>45841</v>
      </c>
      <c r="H60" s="29"/>
      <c r="I60" s="22" t="s">
        <v>15</v>
      </c>
      <c r="J60" s="22" t="s">
        <v>16</v>
      </c>
      <c r="K60" s="22" t="s">
        <v>17</v>
      </c>
      <c r="L60" t="s">
        <v>26</v>
      </c>
      <c r="M60" s="21">
        <v>0</v>
      </c>
    </row>
    <row r="61" spans="1:13" ht="18.75" customHeight="1" x14ac:dyDescent="0.3">
      <c r="A61" s="30">
        <v>2102</v>
      </c>
      <c r="B61" s="29"/>
      <c r="C61" s="22" t="s">
        <v>14</v>
      </c>
      <c r="D61" s="7">
        <v>540</v>
      </c>
      <c r="E61" s="31">
        <v>29308</v>
      </c>
      <c r="F61" s="29"/>
      <c r="G61" s="32">
        <v>45842</v>
      </c>
      <c r="H61" s="29"/>
      <c r="I61" s="22" t="s">
        <v>15</v>
      </c>
      <c r="J61" s="22" t="s">
        <v>16</v>
      </c>
      <c r="K61" s="22" t="s">
        <v>17</v>
      </c>
      <c r="L61" t="s">
        <v>39</v>
      </c>
      <c r="M61" s="21">
        <v>0</v>
      </c>
    </row>
    <row r="62" spans="1:13" ht="18.75" customHeight="1" x14ac:dyDescent="0.3">
      <c r="A62" s="30">
        <v>2103</v>
      </c>
      <c r="B62" s="29"/>
      <c r="C62" s="22" t="s">
        <v>14</v>
      </c>
      <c r="D62" s="7">
        <v>575</v>
      </c>
      <c r="E62" s="31">
        <v>29277</v>
      </c>
      <c r="F62" s="29"/>
      <c r="G62" s="32">
        <v>45840</v>
      </c>
      <c r="H62" s="29"/>
      <c r="I62" s="22" t="s">
        <v>28</v>
      </c>
      <c r="J62" s="22" t="s">
        <v>29</v>
      </c>
      <c r="K62" s="22" t="s">
        <v>30</v>
      </c>
      <c r="L62" t="s">
        <v>18</v>
      </c>
      <c r="M62" s="21">
        <v>0</v>
      </c>
    </row>
    <row r="63" spans="1:13" ht="18.75" customHeight="1" x14ac:dyDescent="0.3">
      <c r="A63" s="30">
        <v>2104</v>
      </c>
      <c r="B63" s="29"/>
      <c r="C63" s="22" t="s">
        <v>14</v>
      </c>
      <c r="D63" s="7">
        <v>226</v>
      </c>
      <c r="E63" s="31">
        <v>29290</v>
      </c>
      <c r="F63" s="29"/>
      <c r="G63" s="32">
        <v>45841</v>
      </c>
      <c r="H63" s="29"/>
      <c r="I63" s="22" t="s">
        <v>28</v>
      </c>
      <c r="J63" s="22" t="s">
        <v>29</v>
      </c>
      <c r="K63" s="22" t="s">
        <v>30</v>
      </c>
      <c r="L63" t="s">
        <v>24</v>
      </c>
      <c r="M63" s="21">
        <v>0</v>
      </c>
    </row>
    <row r="64" spans="1:13" ht="18.75" customHeight="1" x14ac:dyDescent="0.3">
      <c r="A64" s="30">
        <v>2105</v>
      </c>
      <c r="B64" s="29"/>
      <c r="C64" s="22" t="s">
        <v>14</v>
      </c>
      <c r="D64" s="7">
        <v>543</v>
      </c>
      <c r="E64" s="31">
        <v>29303</v>
      </c>
      <c r="F64" s="29"/>
      <c r="G64" s="32">
        <v>45842</v>
      </c>
      <c r="H64" s="29"/>
      <c r="I64" s="22" t="s">
        <v>28</v>
      </c>
      <c r="J64" s="22" t="s">
        <v>29</v>
      </c>
      <c r="K64" s="22" t="s">
        <v>30</v>
      </c>
      <c r="L64" t="s">
        <v>25</v>
      </c>
      <c r="M64" s="21">
        <v>0</v>
      </c>
    </row>
    <row r="65" spans="1:13" ht="18.75" customHeight="1" x14ac:dyDescent="0.3">
      <c r="A65" s="30">
        <v>2106</v>
      </c>
      <c r="B65" s="29"/>
      <c r="C65" s="5" t="s">
        <v>40</v>
      </c>
      <c r="D65" s="7">
        <v>323</v>
      </c>
      <c r="E65" s="31">
        <v>136123</v>
      </c>
      <c r="F65" s="29"/>
      <c r="G65" s="32">
        <v>38532</v>
      </c>
      <c r="H65" s="29"/>
      <c r="I65" s="5" t="s">
        <v>15</v>
      </c>
      <c r="J65" s="5" t="s">
        <v>30</v>
      </c>
      <c r="K65" s="5"/>
      <c r="L65" t="s">
        <v>41</v>
      </c>
      <c r="M65" s="21">
        <v>0</v>
      </c>
    </row>
    <row r="66" spans="1:13" ht="18.75" customHeight="1" x14ac:dyDescent="0.3">
      <c r="A66" s="30">
        <v>2107</v>
      </c>
      <c r="B66" s="29"/>
      <c r="C66" s="5" t="s">
        <v>40</v>
      </c>
      <c r="D66" s="7">
        <v>444</v>
      </c>
      <c r="E66" s="31">
        <v>139259</v>
      </c>
      <c r="F66" s="29"/>
      <c r="G66" s="32">
        <v>45837</v>
      </c>
      <c r="H66" s="29"/>
      <c r="I66" s="5" t="s">
        <v>15</v>
      </c>
      <c r="J66" s="5" t="s">
        <v>30</v>
      </c>
      <c r="K66" s="5"/>
      <c r="L66" t="s">
        <v>42</v>
      </c>
      <c r="M66" s="21">
        <v>0</v>
      </c>
    </row>
    <row r="67" spans="1:13" ht="18.75" customHeight="1" x14ac:dyDescent="0.3">
      <c r="A67" s="30">
        <v>2108</v>
      </c>
      <c r="B67" s="29"/>
      <c r="C67" s="5" t="s">
        <v>40</v>
      </c>
      <c r="D67" s="7">
        <v>405</v>
      </c>
      <c r="E67" s="31">
        <v>137813</v>
      </c>
      <c r="F67" s="29"/>
      <c r="G67" s="32">
        <v>45833</v>
      </c>
      <c r="H67" s="29"/>
      <c r="I67" s="5" t="s">
        <v>15</v>
      </c>
      <c r="J67" s="5" t="s">
        <v>30</v>
      </c>
      <c r="K67" s="5"/>
      <c r="L67" t="s">
        <v>43</v>
      </c>
      <c r="M67" s="21">
        <v>0</v>
      </c>
    </row>
    <row r="68" spans="1:13" ht="18.75" customHeight="1" x14ac:dyDescent="0.3">
      <c r="A68" s="30">
        <v>2109</v>
      </c>
      <c r="B68" s="29"/>
      <c r="C68" s="5" t="s">
        <v>40</v>
      </c>
      <c r="D68" s="7">
        <v>676</v>
      </c>
      <c r="E68" s="31">
        <v>135933</v>
      </c>
      <c r="F68" s="29"/>
      <c r="G68" s="32">
        <v>45833</v>
      </c>
      <c r="H68" s="29"/>
      <c r="I68" s="5" t="s">
        <v>15</v>
      </c>
      <c r="J68" s="5" t="s">
        <v>30</v>
      </c>
      <c r="K68" s="5"/>
      <c r="L68" t="s">
        <v>44</v>
      </c>
      <c r="M68" s="21">
        <v>0</v>
      </c>
    </row>
    <row r="69" spans="1:13" ht="18.75" customHeight="1" x14ac:dyDescent="0.3">
      <c r="A69" s="30">
        <v>2110</v>
      </c>
      <c r="B69" s="29"/>
      <c r="C69" s="22" t="s">
        <v>14</v>
      </c>
      <c r="D69" s="7">
        <v>543</v>
      </c>
      <c r="E69" s="31">
        <v>29310</v>
      </c>
      <c r="F69" s="29"/>
      <c r="G69" s="46">
        <v>45843</v>
      </c>
      <c r="H69" s="29"/>
      <c r="I69" s="22" t="s">
        <v>15</v>
      </c>
      <c r="J69" s="22" t="s">
        <v>16</v>
      </c>
      <c r="K69" s="22" t="s">
        <v>17</v>
      </c>
      <c r="L69" t="s">
        <v>26</v>
      </c>
      <c r="M69" s="21">
        <v>0</v>
      </c>
    </row>
    <row r="70" spans="1:13" ht="18.75" customHeight="1" x14ac:dyDescent="0.3">
      <c r="A70" s="30">
        <v>2111</v>
      </c>
      <c r="B70" s="29"/>
      <c r="C70" s="22" t="s">
        <v>14</v>
      </c>
      <c r="D70" s="7">
        <v>507</v>
      </c>
      <c r="E70" s="31">
        <v>29332</v>
      </c>
      <c r="F70" s="29"/>
      <c r="G70" s="32">
        <v>45845</v>
      </c>
      <c r="H70" s="29"/>
      <c r="I70" s="22" t="s">
        <v>15</v>
      </c>
      <c r="J70" s="22" t="s">
        <v>16</v>
      </c>
      <c r="K70" s="22" t="s">
        <v>17</v>
      </c>
      <c r="L70" t="s">
        <v>25</v>
      </c>
      <c r="M70" s="21">
        <v>0</v>
      </c>
    </row>
    <row r="71" spans="1:13" ht="18.75" customHeight="1" x14ac:dyDescent="0.3">
      <c r="A71" s="30">
        <v>2112</v>
      </c>
      <c r="B71" s="29"/>
      <c r="C71" s="22" t="s">
        <v>14</v>
      </c>
      <c r="D71" s="7">
        <v>462</v>
      </c>
      <c r="E71" s="31">
        <v>29344</v>
      </c>
      <c r="F71" s="29"/>
      <c r="G71" s="32">
        <v>45846</v>
      </c>
      <c r="H71" s="29"/>
      <c r="I71" s="22" t="s">
        <v>15</v>
      </c>
      <c r="J71" s="22" t="s">
        <v>16</v>
      </c>
      <c r="K71" s="22" t="s">
        <v>17</v>
      </c>
      <c r="L71" t="s">
        <v>36</v>
      </c>
      <c r="M71" s="21">
        <v>0</v>
      </c>
    </row>
    <row r="72" spans="1:13" ht="18.75" customHeight="1" x14ac:dyDescent="0.3">
      <c r="A72" s="30">
        <v>2113</v>
      </c>
      <c r="B72" s="29"/>
      <c r="C72" s="22" t="s">
        <v>14</v>
      </c>
      <c r="D72" s="7">
        <v>288</v>
      </c>
      <c r="E72" s="31">
        <v>29318</v>
      </c>
      <c r="F72" s="29"/>
      <c r="G72" s="32">
        <v>45843</v>
      </c>
      <c r="H72" s="29"/>
      <c r="I72" s="22" t="s">
        <v>28</v>
      </c>
      <c r="J72" s="22" t="s">
        <v>29</v>
      </c>
      <c r="K72" s="22" t="s">
        <v>30</v>
      </c>
      <c r="L72" t="s">
        <v>24</v>
      </c>
      <c r="M72" s="21">
        <v>0</v>
      </c>
    </row>
    <row r="73" spans="1:13" ht="18.75" customHeight="1" x14ac:dyDescent="0.3">
      <c r="A73" s="30">
        <v>2114</v>
      </c>
      <c r="B73" s="29"/>
      <c r="C73" s="22" t="s">
        <v>14</v>
      </c>
      <c r="D73" s="7">
        <v>526</v>
      </c>
      <c r="E73" s="31">
        <v>29351</v>
      </c>
      <c r="F73" s="29"/>
      <c r="G73" s="32">
        <v>45847</v>
      </c>
      <c r="H73" s="29"/>
      <c r="I73" s="22" t="s">
        <v>15</v>
      </c>
      <c r="J73" s="22" t="s">
        <v>16</v>
      </c>
      <c r="K73" s="22" t="s">
        <v>17</v>
      </c>
      <c r="L73" t="s">
        <v>25</v>
      </c>
      <c r="M73" s="21">
        <v>0</v>
      </c>
    </row>
    <row r="74" spans="1:13" ht="18.75" customHeight="1" x14ac:dyDescent="0.3">
      <c r="A74" s="30">
        <v>2115</v>
      </c>
      <c r="B74" s="29"/>
      <c r="C74" s="22" t="s">
        <v>14</v>
      </c>
      <c r="D74" s="7">
        <v>317</v>
      </c>
      <c r="E74" s="31">
        <v>29360</v>
      </c>
      <c r="F74" s="29"/>
      <c r="G74" s="32">
        <v>45848</v>
      </c>
      <c r="H74" s="29"/>
      <c r="I74" s="22" t="s">
        <v>15</v>
      </c>
      <c r="J74" s="22" t="s">
        <v>16</v>
      </c>
      <c r="K74" s="22" t="s">
        <v>17</v>
      </c>
      <c r="L74" t="s">
        <v>26</v>
      </c>
      <c r="M74" s="21">
        <v>0</v>
      </c>
    </row>
    <row r="75" spans="1:13" ht="18.75" customHeight="1" x14ac:dyDescent="0.3">
      <c r="A75" s="30">
        <v>2116</v>
      </c>
      <c r="B75" s="29"/>
      <c r="C75" s="22" t="s">
        <v>14</v>
      </c>
      <c r="D75" s="7">
        <v>446</v>
      </c>
      <c r="E75" s="31">
        <v>29371</v>
      </c>
      <c r="F75" s="29"/>
      <c r="G75" s="32">
        <v>45849</v>
      </c>
      <c r="H75" s="29"/>
      <c r="I75" s="22" t="s">
        <v>15</v>
      </c>
      <c r="J75" s="22" t="s">
        <v>16</v>
      </c>
      <c r="K75" s="22" t="s">
        <v>17</v>
      </c>
      <c r="L75" t="s">
        <v>18</v>
      </c>
      <c r="M75" s="21">
        <v>0</v>
      </c>
    </row>
    <row r="76" spans="1:13" ht="18.75" customHeight="1" x14ac:dyDescent="0.3">
      <c r="A76" s="30">
        <v>2117</v>
      </c>
      <c r="B76" s="29"/>
      <c r="C76" s="22" t="s">
        <v>14</v>
      </c>
      <c r="D76" s="7">
        <v>374</v>
      </c>
      <c r="E76" s="31">
        <v>29388</v>
      </c>
      <c r="F76" s="29"/>
      <c r="G76" s="32">
        <v>45850</v>
      </c>
      <c r="H76" s="29"/>
      <c r="I76" s="22" t="s">
        <v>15</v>
      </c>
      <c r="J76" s="22" t="s">
        <v>16</v>
      </c>
      <c r="K76" s="22" t="s">
        <v>17</v>
      </c>
      <c r="L76" t="s">
        <v>27</v>
      </c>
      <c r="M76" s="21">
        <v>0</v>
      </c>
    </row>
    <row r="77" spans="1:13" ht="18.75" customHeight="1" x14ac:dyDescent="0.3">
      <c r="A77" s="30">
        <v>2118</v>
      </c>
      <c r="B77" s="29"/>
      <c r="C77" s="22" t="s">
        <v>14</v>
      </c>
      <c r="D77" s="7">
        <v>646</v>
      </c>
      <c r="E77" s="31">
        <v>29368</v>
      </c>
      <c r="F77" s="29"/>
      <c r="G77" s="32">
        <v>45849</v>
      </c>
      <c r="H77" s="29"/>
      <c r="I77" s="22" t="s">
        <v>28</v>
      </c>
      <c r="J77" s="22" t="s">
        <v>29</v>
      </c>
      <c r="K77" s="22" t="s">
        <v>30</v>
      </c>
      <c r="L77" t="s">
        <v>32</v>
      </c>
      <c r="M77" s="21">
        <v>0</v>
      </c>
    </row>
    <row r="78" spans="1:13" ht="18.75" customHeight="1" x14ac:dyDescent="0.3">
      <c r="A78" s="30">
        <v>2119</v>
      </c>
      <c r="B78" s="29"/>
      <c r="C78" s="22" t="s">
        <v>14</v>
      </c>
      <c r="D78" s="7">
        <v>554</v>
      </c>
      <c r="E78" s="31">
        <v>29339</v>
      </c>
      <c r="F78" s="29"/>
      <c r="G78" s="32">
        <v>45846</v>
      </c>
      <c r="H78" s="29"/>
      <c r="I78" s="22" t="s">
        <v>28</v>
      </c>
      <c r="J78" s="22" t="s">
        <v>29</v>
      </c>
      <c r="K78" s="22" t="s">
        <v>30</v>
      </c>
      <c r="L78" t="s">
        <v>32</v>
      </c>
      <c r="M78" s="21">
        <v>0</v>
      </c>
    </row>
    <row r="79" spans="1:13" ht="18.75" customHeight="1" x14ac:dyDescent="0.3">
      <c r="A79" s="30">
        <v>2120</v>
      </c>
      <c r="B79" s="29"/>
      <c r="C79" s="22" t="s">
        <v>14</v>
      </c>
      <c r="D79" s="7">
        <v>105</v>
      </c>
      <c r="E79" s="31">
        <v>123324</v>
      </c>
      <c r="F79" s="29"/>
      <c r="G79" s="32">
        <v>45846</v>
      </c>
      <c r="H79" s="29"/>
      <c r="I79" s="22" t="s">
        <v>28</v>
      </c>
      <c r="J79" s="22" t="s">
        <v>29</v>
      </c>
      <c r="K79" s="22" t="s">
        <v>30</v>
      </c>
      <c r="L79" t="s">
        <v>45</v>
      </c>
      <c r="M79" s="21">
        <v>0</v>
      </c>
    </row>
    <row r="80" spans="1:13" ht="18.75" customHeight="1" x14ac:dyDescent="0.3">
      <c r="A80" s="30">
        <v>2121</v>
      </c>
      <c r="B80" s="29"/>
      <c r="C80" s="22" t="s">
        <v>14</v>
      </c>
      <c r="D80" s="7">
        <v>109</v>
      </c>
      <c r="E80" s="31">
        <v>123390</v>
      </c>
      <c r="F80" s="29"/>
      <c r="G80" s="32">
        <v>45849</v>
      </c>
      <c r="H80" s="29"/>
      <c r="I80" s="22" t="s">
        <v>28</v>
      </c>
      <c r="J80" s="22" t="s">
        <v>29</v>
      </c>
      <c r="K80" s="22" t="s">
        <v>30</v>
      </c>
      <c r="L80" t="s">
        <v>46</v>
      </c>
      <c r="M80" s="21">
        <v>0</v>
      </c>
    </row>
    <row r="81" spans="1:13" ht="18.75" customHeight="1" x14ac:dyDescent="0.3">
      <c r="A81" s="30">
        <v>2122</v>
      </c>
      <c r="B81" s="29"/>
      <c r="C81" s="22" t="s">
        <v>14</v>
      </c>
      <c r="D81" s="7">
        <v>99</v>
      </c>
      <c r="E81" s="31">
        <v>123419</v>
      </c>
      <c r="F81" s="29"/>
      <c r="G81" s="32">
        <v>45850</v>
      </c>
      <c r="H81" s="29"/>
      <c r="I81" s="22" t="s">
        <v>15</v>
      </c>
      <c r="J81" s="22" t="s">
        <v>16</v>
      </c>
      <c r="K81" s="22" t="s">
        <v>17</v>
      </c>
      <c r="L81" t="s">
        <v>47</v>
      </c>
      <c r="M81" s="21">
        <v>0</v>
      </c>
    </row>
    <row r="82" spans="1:13" ht="18.75" customHeight="1" x14ac:dyDescent="0.3">
      <c r="A82" s="30">
        <v>2123</v>
      </c>
      <c r="B82" s="29"/>
      <c r="C82" s="5" t="s">
        <v>40</v>
      </c>
      <c r="D82" s="7">
        <v>650</v>
      </c>
      <c r="E82" s="31">
        <v>139272</v>
      </c>
      <c r="F82" s="29"/>
      <c r="G82" s="32">
        <v>45844</v>
      </c>
      <c r="H82" s="29"/>
      <c r="I82" s="22" t="s">
        <v>48</v>
      </c>
      <c r="J82" s="22" t="s">
        <v>29</v>
      </c>
      <c r="K82" s="22"/>
      <c r="L82" t="s">
        <v>42</v>
      </c>
      <c r="M82" s="21">
        <v>0</v>
      </c>
    </row>
    <row r="83" spans="1:13" ht="18.75" customHeight="1" x14ac:dyDescent="0.3">
      <c r="A83" s="30">
        <v>2124</v>
      </c>
      <c r="B83" s="29"/>
      <c r="C83" s="5" t="s">
        <v>40</v>
      </c>
      <c r="D83" s="7">
        <v>472</v>
      </c>
      <c r="E83" s="31">
        <v>136143</v>
      </c>
      <c r="F83" s="29"/>
      <c r="G83" s="32">
        <v>45845</v>
      </c>
      <c r="H83" s="29"/>
      <c r="I83" s="5" t="s">
        <v>48</v>
      </c>
      <c r="J83" s="5" t="s">
        <v>29</v>
      </c>
      <c r="K83" s="5"/>
      <c r="L83" t="s">
        <v>41</v>
      </c>
      <c r="M83" s="21">
        <v>0</v>
      </c>
    </row>
    <row r="84" spans="1:13" ht="18.75" customHeight="1" x14ac:dyDescent="0.3">
      <c r="A84" s="30">
        <v>2125</v>
      </c>
      <c r="B84" s="29"/>
      <c r="C84" s="5" t="s">
        <v>40</v>
      </c>
      <c r="D84" s="7">
        <v>400</v>
      </c>
      <c r="E84" s="31">
        <v>139279</v>
      </c>
      <c r="F84" s="29"/>
      <c r="G84" s="32">
        <v>45847</v>
      </c>
      <c r="H84" s="29"/>
      <c r="I84" s="5" t="s">
        <v>49</v>
      </c>
      <c r="J84" s="5" t="s">
        <v>29</v>
      </c>
      <c r="K84" s="5"/>
      <c r="L84" t="s">
        <v>42</v>
      </c>
      <c r="M84" s="21">
        <v>0</v>
      </c>
    </row>
    <row r="85" spans="1:13" ht="18.75" customHeight="1" x14ac:dyDescent="0.3">
      <c r="A85" s="30">
        <v>2126</v>
      </c>
      <c r="B85" s="29"/>
      <c r="C85" s="5" t="s">
        <v>40</v>
      </c>
      <c r="D85" s="7">
        <v>415</v>
      </c>
      <c r="E85" s="31">
        <v>138457</v>
      </c>
      <c r="F85" s="29"/>
      <c r="G85" s="32">
        <v>45848</v>
      </c>
      <c r="H85" s="29"/>
      <c r="I85" s="5" t="s">
        <v>48</v>
      </c>
      <c r="J85" s="5" t="s">
        <v>29</v>
      </c>
      <c r="K85" s="5"/>
      <c r="L85" t="s">
        <v>44</v>
      </c>
      <c r="M85" s="21">
        <v>0</v>
      </c>
    </row>
    <row r="86" spans="1:13" ht="18.75" customHeight="1" x14ac:dyDescent="0.3">
      <c r="A86" s="30">
        <v>2127</v>
      </c>
      <c r="B86" s="29"/>
      <c r="C86" s="5" t="s">
        <v>40</v>
      </c>
      <c r="D86" s="7">
        <v>500</v>
      </c>
      <c r="E86" s="31">
        <v>137717</v>
      </c>
      <c r="F86" s="29"/>
      <c r="G86" s="32">
        <v>45848</v>
      </c>
      <c r="H86" s="29"/>
      <c r="I86" s="5" t="s">
        <v>48</v>
      </c>
      <c r="J86" s="5" t="s">
        <v>29</v>
      </c>
      <c r="K86" s="5"/>
      <c r="L86" t="s">
        <v>43</v>
      </c>
      <c r="M86" s="21">
        <v>0</v>
      </c>
    </row>
    <row r="87" spans="1:13" ht="18.75" customHeight="1" x14ac:dyDescent="0.3">
      <c r="A87" s="30">
        <v>2128</v>
      </c>
      <c r="B87" s="29"/>
      <c r="C87" s="5" t="s">
        <v>40</v>
      </c>
      <c r="D87" s="7">
        <v>520</v>
      </c>
      <c r="E87" s="31">
        <v>139286</v>
      </c>
      <c r="F87" s="29"/>
      <c r="G87" s="32">
        <v>45850</v>
      </c>
      <c r="H87" s="29"/>
      <c r="I87" s="5" t="s">
        <v>48</v>
      </c>
      <c r="J87" s="5" t="s">
        <v>29</v>
      </c>
      <c r="K87" s="5"/>
      <c r="L87" t="s">
        <v>42</v>
      </c>
      <c r="M87" s="21">
        <v>0</v>
      </c>
    </row>
    <row r="88" spans="1:13" ht="18.75" customHeight="1" x14ac:dyDescent="0.3">
      <c r="A88" s="30">
        <v>2129</v>
      </c>
      <c r="B88" s="29"/>
      <c r="C88" s="5" t="s">
        <v>40</v>
      </c>
      <c r="D88" s="7">
        <v>650</v>
      </c>
      <c r="E88" s="31">
        <v>139271</v>
      </c>
      <c r="F88" s="29"/>
      <c r="G88" s="32">
        <v>45844</v>
      </c>
      <c r="H88" s="29"/>
      <c r="I88" s="5" t="s">
        <v>50</v>
      </c>
      <c r="J88" s="5" t="s">
        <v>30</v>
      </c>
      <c r="K88" s="5"/>
      <c r="L88" t="s">
        <v>42</v>
      </c>
      <c r="M88" s="21">
        <v>0</v>
      </c>
    </row>
    <row r="89" spans="1:13" ht="18.75" customHeight="1" x14ac:dyDescent="0.3">
      <c r="A89" s="30">
        <v>2130</v>
      </c>
      <c r="B89" s="29"/>
      <c r="C89" s="5" t="s">
        <v>40</v>
      </c>
      <c r="D89" s="7">
        <v>308</v>
      </c>
      <c r="E89" s="31">
        <v>136141</v>
      </c>
      <c r="F89" s="29"/>
      <c r="G89" s="32">
        <v>45845</v>
      </c>
      <c r="H89" s="29"/>
      <c r="I89" s="5" t="s">
        <v>50</v>
      </c>
      <c r="J89" s="5" t="s">
        <v>30</v>
      </c>
      <c r="K89" s="5"/>
      <c r="L89" t="s">
        <v>41</v>
      </c>
      <c r="M89" s="21">
        <v>0</v>
      </c>
    </row>
    <row r="90" spans="1:13" ht="18.75" customHeight="1" x14ac:dyDescent="0.3">
      <c r="A90" s="30">
        <v>2131</v>
      </c>
      <c r="B90" s="29"/>
      <c r="C90" s="5" t="s">
        <v>40</v>
      </c>
      <c r="D90" s="7">
        <v>623</v>
      </c>
      <c r="E90" s="31">
        <v>139274</v>
      </c>
      <c r="F90" s="29"/>
      <c r="G90" s="32">
        <v>45845</v>
      </c>
      <c r="H90" s="29"/>
      <c r="I90" s="5" t="s">
        <v>50</v>
      </c>
      <c r="J90" s="5" t="s">
        <v>30</v>
      </c>
      <c r="K90" s="5"/>
      <c r="L90" t="s">
        <v>42</v>
      </c>
      <c r="M90" s="21">
        <v>0</v>
      </c>
    </row>
    <row r="91" spans="1:13" ht="18.75" customHeight="1" x14ac:dyDescent="0.3">
      <c r="A91" s="30">
        <v>2132</v>
      </c>
      <c r="B91" s="29"/>
      <c r="C91" s="5" t="s">
        <v>40</v>
      </c>
      <c r="D91" s="7">
        <v>480</v>
      </c>
      <c r="E91" s="31">
        <v>136148</v>
      </c>
      <c r="F91" s="29"/>
      <c r="G91" s="32">
        <v>45846</v>
      </c>
      <c r="H91" s="29"/>
      <c r="I91" s="5" t="s">
        <v>50</v>
      </c>
      <c r="J91" s="5" t="s">
        <v>30</v>
      </c>
      <c r="K91" s="5"/>
      <c r="L91" t="s">
        <v>41</v>
      </c>
      <c r="M91" s="21">
        <v>0</v>
      </c>
    </row>
    <row r="92" spans="1:13" ht="18.75" customHeight="1" x14ac:dyDescent="0.3">
      <c r="A92" s="30">
        <v>2133</v>
      </c>
      <c r="B92" s="29"/>
      <c r="C92" s="5" t="s">
        <v>40</v>
      </c>
      <c r="D92" s="7">
        <v>512</v>
      </c>
      <c r="E92" s="31">
        <v>139051</v>
      </c>
      <c r="F92" s="29"/>
      <c r="G92" s="32">
        <v>45846</v>
      </c>
      <c r="H92" s="29"/>
      <c r="I92" s="5" t="s">
        <v>50</v>
      </c>
      <c r="J92" s="5" t="s">
        <v>30</v>
      </c>
      <c r="K92" s="5"/>
      <c r="L92" t="s">
        <v>44</v>
      </c>
      <c r="M92" s="21">
        <v>0</v>
      </c>
    </row>
    <row r="93" spans="1:13" ht="18.75" customHeight="1" x14ac:dyDescent="0.3">
      <c r="A93" s="30">
        <v>2134</v>
      </c>
      <c r="B93" s="29"/>
      <c r="C93" s="5" t="s">
        <v>40</v>
      </c>
      <c r="D93" s="7">
        <v>390</v>
      </c>
      <c r="E93" s="31">
        <v>139601</v>
      </c>
      <c r="F93" s="29"/>
      <c r="G93" s="32">
        <v>45847</v>
      </c>
      <c r="H93" s="29"/>
      <c r="I93" s="5" t="s">
        <v>50</v>
      </c>
      <c r="J93" s="5" t="s">
        <v>30</v>
      </c>
      <c r="K93" s="5"/>
      <c r="L93" t="s">
        <v>41</v>
      </c>
      <c r="M93" s="21">
        <v>0</v>
      </c>
    </row>
    <row r="94" spans="1:13" ht="18.75" customHeight="1" x14ac:dyDescent="0.3">
      <c r="A94" s="30">
        <v>2135</v>
      </c>
      <c r="B94" s="29"/>
      <c r="C94" s="5" t="s">
        <v>40</v>
      </c>
      <c r="D94" s="7">
        <v>281</v>
      </c>
      <c r="E94" s="31">
        <v>139605</v>
      </c>
      <c r="F94" s="29"/>
      <c r="G94" s="32">
        <v>45848</v>
      </c>
      <c r="H94" s="29"/>
      <c r="I94" s="5" t="s">
        <v>50</v>
      </c>
      <c r="J94" s="5" t="s">
        <v>30</v>
      </c>
      <c r="K94" s="5"/>
      <c r="L94" t="s">
        <v>41</v>
      </c>
      <c r="M94" s="21">
        <v>0</v>
      </c>
    </row>
    <row r="95" spans="1:13" ht="18.75" customHeight="1" x14ac:dyDescent="0.3">
      <c r="A95" s="30">
        <v>2136</v>
      </c>
      <c r="B95" s="29"/>
      <c r="C95" s="5" t="s">
        <v>40</v>
      </c>
      <c r="D95" s="7">
        <v>397</v>
      </c>
      <c r="E95" s="31">
        <v>138458</v>
      </c>
      <c r="F95" s="29"/>
      <c r="G95" s="32">
        <v>45848</v>
      </c>
      <c r="H95" s="29"/>
      <c r="I95" s="5" t="s">
        <v>50</v>
      </c>
      <c r="J95" s="5" t="s">
        <v>30</v>
      </c>
      <c r="K95" s="5"/>
      <c r="L95" t="s">
        <v>44</v>
      </c>
      <c r="M95" s="21">
        <v>0</v>
      </c>
    </row>
    <row r="96" spans="1:13" ht="18.75" customHeight="1" x14ac:dyDescent="0.3">
      <c r="A96" s="30">
        <v>2137</v>
      </c>
      <c r="B96" s="29"/>
      <c r="C96" s="5" t="s">
        <v>40</v>
      </c>
      <c r="D96" s="7">
        <v>555</v>
      </c>
      <c r="E96" s="31">
        <v>139284</v>
      </c>
      <c r="F96" s="29"/>
      <c r="G96" s="32">
        <v>45849</v>
      </c>
      <c r="H96" s="29"/>
      <c r="I96" s="5" t="s">
        <v>50</v>
      </c>
      <c r="J96" s="5" t="s">
        <v>30</v>
      </c>
      <c r="K96" s="5"/>
      <c r="L96" t="s">
        <v>42</v>
      </c>
      <c r="M96" s="21">
        <v>0</v>
      </c>
    </row>
    <row r="97" spans="1:13" ht="18.75" customHeight="1" x14ac:dyDescent="0.3">
      <c r="A97" s="30">
        <v>2138</v>
      </c>
      <c r="B97" s="29"/>
      <c r="C97" s="5" t="s">
        <v>40</v>
      </c>
      <c r="D97" s="7">
        <v>388</v>
      </c>
      <c r="E97" s="31">
        <v>137720</v>
      </c>
      <c r="F97" s="29"/>
      <c r="G97" s="32">
        <v>45850</v>
      </c>
      <c r="H97" s="29"/>
      <c r="I97" s="5" t="s">
        <v>50</v>
      </c>
      <c r="J97" s="5" t="s">
        <v>30</v>
      </c>
      <c r="K97" s="5"/>
      <c r="L97" t="s">
        <v>43</v>
      </c>
      <c r="M97" s="21">
        <v>0</v>
      </c>
    </row>
    <row r="98" spans="1:13" ht="18.75" customHeight="1" x14ac:dyDescent="0.3">
      <c r="A98" s="30">
        <v>2139</v>
      </c>
      <c r="B98" s="29"/>
      <c r="C98" s="5" t="s">
        <v>40</v>
      </c>
      <c r="D98" s="7">
        <v>405</v>
      </c>
      <c r="E98" s="31">
        <v>137719</v>
      </c>
      <c r="F98" s="29"/>
      <c r="G98" s="32">
        <v>45850</v>
      </c>
      <c r="H98" s="29"/>
      <c r="I98" s="5" t="s">
        <v>50</v>
      </c>
      <c r="J98" s="5" t="s">
        <v>30</v>
      </c>
      <c r="K98" s="5"/>
      <c r="L98" t="s">
        <v>43</v>
      </c>
      <c r="M98" s="21">
        <v>0</v>
      </c>
    </row>
    <row r="99" spans="1:13" ht="18.75" customHeight="1" x14ac:dyDescent="0.3">
      <c r="A99" s="30">
        <v>2140</v>
      </c>
      <c r="B99" s="29"/>
      <c r="C99" s="5" t="s">
        <v>14</v>
      </c>
      <c r="D99" s="7">
        <v>559</v>
      </c>
      <c r="E99" s="31">
        <v>29401</v>
      </c>
      <c r="F99" s="29"/>
      <c r="G99" s="32">
        <v>45852</v>
      </c>
      <c r="H99" s="29"/>
      <c r="I99" s="22" t="s">
        <v>15</v>
      </c>
      <c r="J99" s="22" t="s">
        <v>16</v>
      </c>
      <c r="K99" s="22" t="s">
        <v>17</v>
      </c>
      <c r="L99" t="s">
        <v>25</v>
      </c>
      <c r="M99" s="21">
        <v>0</v>
      </c>
    </row>
    <row r="100" spans="1:13" ht="18.75" customHeight="1" x14ac:dyDescent="0.3">
      <c r="A100" s="30">
        <v>2141</v>
      </c>
      <c r="B100" s="29"/>
      <c r="C100" s="5" t="s">
        <v>14</v>
      </c>
      <c r="D100" s="7">
        <v>539</v>
      </c>
      <c r="E100" s="31">
        <v>29405</v>
      </c>
      <c r="F100" s="29"/>
      <c r="G100" s="32">
        <v>45854</v>
      </c>
      <c r="H100" s="29"/>
      <c r="I100" s="22" t="s">
        <v>15</v>
      </c>
      <c r="J100" s="22" t="s">
        <v>16</v>
      </c>
      <c r="K100" s="22" t="s">
        <v>17</v>
      </c>
      <c r="L100" t="s">
        <v>24</v>
      </c>
      <c r="M100" s="21">
        <v>0</v>
      </c>
    </row>
    <row r="101" spans="1:13" ht="18.75" customHeight="1" x14ac:dyDescent="0.3">
      <c r="A101" s="30">
        <v>2142</v>
      </c>
      <c r="B101" s="29"/>
      <c r="C101" s="5" t="s">
        <v>14</v>
      </c>
      <c r="D101" s="7">
        <v>448</v>
      </c>
      <c r="E101" s="31">
        <v>29421</v>
      </c>
      <c r="F101" s="29"/>
      <c r="G101" s="32">
        <v>45855</v>
      </c>
      <c r="H101" s="29"/>
      <c r="I101" s="22" t="s">
        <v>15</v>
      </c>
      <c r="J101" s="22" t="s">
        <v>16</v>
      </c>
      <c r="K101" s="22" t="s">
        <v>17</v>
      </c>
      <c r="L101" t="s">
        <v>51</v>
      </c>
      <c r="M101" s="21">
        <v>0</v>
      </c>
    </row>
    <row r="102" spans="1:13" ht="18.75" customHeight="1" x14ac:dyDescent="0.3">
      <c r="A102" s="30">
        <v>2143</v>
      </c>
      <c r="B102" s="29"/>
      <c r="C102" s="5" t="s">
        <v>14</v>
      </c>
      <c r="D102" s="7">
        <v>318</v>
      </c>
      <c r="E102" s="31">
        <v>29426</v>
      </c>
      <c r="F102" s="29"/>
      <c r="G102" s="32">
        <v>45856</v>
      </c>
      <c r="H102" s="29"/>
      <c r="I102" s="22" t="s">
        <v>15</v>
      </c>
      <c r="J102" s="22" t="s">
        <v>16</v>
      </c>
      <c r="K102" s="22" t="s">
        <v>17</v>
      </c>
      <c r="L102" t="s">
        <v>27</v>
      </c>
      <c r="M102" s="21">
        <v>0</v>
      </c>
    </row>
    <row r="103" spans="1:13" ht="18.75" customHeight="1" x14ac:dyDescent="0.3">
      <c r="A103" s="30">
        <v>2144</v>
      </c>
      <c r="B103" s="29"/>
      <c r="C103" s="5" t="s">
        <v>40</v>
      </c>
      <c r="D103" s="7">
        <v>490</v>
      </c>
      <c r="E103" s="31">
        <v>139289</v>
      </c>
      <c r="F103" s="29"/>
      <c r="G103" s="32">
        <v>45851</v>
      </c>
      <c r="H103" s="29"/>
      <c r="I103" s="5" t="s">
        <v>50</v>
      </c>
      <c r="J103" s="5" t="s">
        <v>30</v>
      </c>
      <c r="K103" s="5"/>
      <c r="L103" t="s">
        <v>42</v>
      </c>
      <c r="M103" s="21">
        <v>0</v>
      </c>
    </row>
    <row r="104" spans="1:13" ht="18.75" customHeight="1" x14ac:dyDescent="0.3">
      <c r="A104" s="30">
        <v>2145</v>
      </c>
      <c r="B104" s="29"/>
      <c r="C104" s="5" t="s">
        <v>40</v>
      </c>
      <c r="D104" s="7">
        <v>555</v>
      </c>
      <c r="E104" s="31">
        <v>139293</v>
      </c>
      <c r="F104" s="29"/>
      <c r="G104" s="32">
        <v>45852</v>
      </c>
      <c r="H104" s="29"/>
      <c r="I104" s="5" t="s">
        <v>50</v>
      </c>
      <c r="J104" s="5" t="s">
        <v>30</v>
      </c>
      <c r="K104" s="5"/>
      <c r="L104" t="s">
        <v>42</v>
      </c>
      <c r="M104" s="21">
        <v>0</v>
      </c>
    </row>
    <row r="105" spans="1:13" ht="18.75" customHeight="1" x14ac:dyDescent="0.3">
      <c r="A105" s="30">
        <v>2146</v>
      </c>
      <c r="B105" s="29"/>
      <c r="C105" s="5" t="s">
        <v>40</v>
      </c>
      <c r="D105" s="7">
        <v>392</v>
      </c>
      <c r="E105" s="31">
        <v>138466</v>
      </c>
      <c r="F105" s="29"/>
      <c r="G105" s="32">
        <v>45853</v>
      </c>
      <c r="H105" s="29"/>
      <c r="I105" s="5" t="s">
        <v>50</v>
      </c>
      <c r="J105" s="5" t="s">
        <v>30</v>
      </c>
      <c r="K105" s="5"/>
      <c r="L105" t="s">
        <v>44</v>
      </c>
      <c r="M105" s="21">
        <v>0</v>
      </c>
    </row>
    <row r="106" spans="1:13" ht="18.75" customHeight="1" x14ac:dyDescent="0.3">
      <c r="A106" s="30">
        <v>2147</v>
      </c>
      <c r="B106" s="29"/>
      <c r="C106" s="5" t="s">
        <v>40</v>
      </c>
      <c r="D106" s="7">
        <v>550</v>
      </c>
      <c r="E106" s="31">
        <v>138469</v>
      </c>
      <c r="F106" s="29"/>
      <c r="G106" s="32">
        <v>45854</v>
      </c>
      <c r="H106" s="29"/>
      <c r="I106" s="5" t="s">
        <v>50</v>
      </c>
      <c r="J106" s="5" t="s">
        <v>30</v>
      </c>
      <c r="K106" s="5"/>
      <c r="L106" t="s">
        <v>44</v>
      </c>
      <c r="M106" s="21">
        <v>0</v>
      </c>
    </row>
    <row r="107" spans="1:13" ht="18.75" customHeight="1" x14ac:dyDescent="0.3">
      <c r="A107" s="30">
        <v>2148</v>
      </c>
      <c r="B107" s="29"/>
      <c r="C107" s="5" t="s">
        <v>40</v>
      </c>
      <c r="D107" s="7">
        <v>452</v>
      </c>
      <c r="E107" s="31">
        <v>139052</v>
      </c>
      <c r="F107" s="29"/>
      <c r="G107" s="32">
        <v>45854</v>
      </c>
      <c r="H107" s="29"/>
      <c r="I107" s="5" t="s">
        <v>50</v>
      </c>
      <c r="J107" s="5" t="s">
        <v>30</v>
      </c>
      <c r="K107" s="5"/>
      <c r="L107" t="s">
        <v>44</v>
      </c>
      <c r="M107" s="21">
        <v>0</v>
      </c>
    </row>
    <row r="108" spans="1:13" ht="18.75" customHeight="1" x14ac:dyDescent="0.3">
      <c r="A108" s="30">
        <v>2149</v>
      </c>
      <c r="B108" s="29"/>
      <c r="C108" s="5" t="s">
        <v>40</v>
      </c>
      <c r="D108" s="7">
        <v>650</v>
      </c>
      <c r="E108" s="31">
        <v>139291</v>
      </c>
      <c r="F108" s="29"/>
      <c r="G108" s="32">
        <v>45851</v>
      </c>
      <c r="H108" s="29"/>
      <c r="I108" s="5" t="s">
        <v>48</v>
      </c>
      <c r="J108" s="5" t="s">
        <v>29</v>
      </c>
      <c r="K108" s="5"/>
      <c r="L108" t="s">
        <v>42</v>
      </c>
      <c r="M108" s="21">
        <v>0</v>
      </c>
    </row>
    <row r="109" spans="1:13" ht="18.75" customHeight="1" x14ac:dyDescent="0.3">
      <c r="A109" s="30">
        <v>2150</v>
      </c>
      <c r="B109" s="29"/>
      <c r="C109" s="5" t="s">
        <v>40</v>
      </c>
      <c r="D109" s="7">
        <v>405</v>
      </c>
      <c r="E109" s="31">
        <v>137723</v>
      </c>
      <c r="F109" s="29"/>
      <c r="G109" s="32">
        <v>45852</v>
      </c>
      <c r="H109" s="29"/>
      <c r="I109" s="5" t="s">
        <v>48</v>
      </c>
      <c r="J109" s="5" t="s">
        <v>29</v>
      </c>
      <c r="K109" s="5"/>
      <c r="L109" t="s">
        <v>43</v>
      </c>
      <c r="M109" s="21">
        <v>0</v>
      </c>
    </row>
    <row r="110" spans="1:13" ht="18.75" customHeight="1" x14ac:dyDescent="0.3">
      <c r="A110" s="30">
        <v>2151</v>
      </c>
      <c r="B110" s="29"/>
      <c r="C110" s="5" t="s">
        <v>40</v>
      </c>
      <c r="D110" s="7">
        <v>610</v>
      </c>
      <c r="E110" s="31">
        <v>139296</v>
      </c>
      <c r="F110" s="29"/>
      <c r="G110" s="32">
        <v>45853</v>
      </c>
      <c r="H110" s="29"/>
      <c r="I110" s="5" t="s">
        <v>48</v>
      </c>
      <c r="J110" s="5" t="s">
        <v>29</v>
      </c>
      <c r="K110" s="5"/>
      <c r="L110" t="s">
        <v>42</v>
      </c>
      <c r="M110" s="21">
        <v>0</v>
      </c>
    </row>
    <row r="111" spans="1:13" ht="18.75" customHeight="1" x14ac:dyDescent="0.3">
      <c r="A111" s="30">
        <v>2152</v>
      </c>
      <c r="B111" s="29"/>
      <c r="C111" s="5" t="s">
        <v>40</v>
      </c>
      <c r="D111" s="7">
        <v>300</v>
      </c>
      <c r="E111" s="31">
        <v>138467</v>
      </c>
      <c r="F111" s="29"/>
      <c r="G111" s="32">
        <v>45854</v>
      </c>
      <c r="H111" s="29"/>
      <c r="I111" s="5" t="s">
        <v>48</v>
      </c>
      <c r="J111" s="5" t="s">
        <v>29</v>
      </c>
      <c r="K111" s="5"/>
      <c r="L111" t="s">
        <v>44</v>
      </c>
      <c r="M111" s="21">
        <v>0</v>
      </c>
    </row>
    <row r="112" spans="1:13" ht="18.75" customHeight="1" x14ac:dyDescent="0.3">
      <c r="A112" s="30">
        <v>2153</v>
      </c>
      <c r="B112" s="29"/>
      <c r="C112" s="5" t="s">
        <v>40</v>
      </c>
      <c r="D112" s="7">
        <v>431</v>
      </c>
      <c r="E112" s="31">
        <v>137725</v>
      </c>
      <c r="F112" s="29"/>
      <c r="G112" s="32">
        <v>45855</v>
      </c>
      <c r="H112" s="29"/>
      <c r="I112" s="5" t="s">
        <v>48</v>
      </c>
      <c r="J112" s="5" t="s">
        <v>29</v>
      </c>
      <c r="K112" s="5"/>
      <c r="L112" t="s">
        <v>43</v>
      </c>
      <c r="M112" s="21">
        <v>0</v>
      </c>
    </row>
    <row r="113" spans="1:13" ht="18.75" customHeight="1" x14ac:dyDescent="0.3">
      <c r="A113" s="30">
        <v>2154</v>
      </c>
      <c r="B113" s="29"/>
      <c r="C113" s="5" t="s">
        <v>40</v>
      </c>
      <c r="D113" s="7">
        <v>312</v>
      </c>
      <c r="E113" s="31">
        <v>138470</v>
      </c>
      <c r="F113" s="29"/>
      <c r="G113" s="32">
        <v>45855</v>
      </c>
      <c r="H113" s="29"/>
      <c r="I113" s="5" t="s">
        <v>48</v>
      </c>
      <c r="J113" s="5" t="s">
        <v>29</v>
      </c>
      <c r="K113" s="5"/>
      <c r="L113" t="s">
        <v>44</v>
      </c>
      <c r="M113" s="21">
        <v>0</v>
      </c>
    </row>
    <row r="114" spans="1:13" ht="18.75" customHeight="1" x14ac:dyDescent="0.3">
      <c r="A114" s="30">
        <v>2155</v>
      </c>
      <c r="B114" s="29"/>
      <c r="C114" s="5" t="s">
        <v>40</v>
      </c>
      <c r="D114" s="7">
        <v>520</v>
      </c>
      <c r="E114" s="31">
        <v>137726</v>
      </c>
      <c r="F114" s="29"/>
      <c r="G114" s="32">
        <v>45855</v>
      </c>
      <c r="H114" s="29"/>
      <c r="I114" s="5" t="s">
        <v>48</v>
      </c>
      <c r="J114" s="5" t="s">
        <v>29</v>
      </c>
      <c r="K114" s="5"/>
      <c r="L114" t="s">
        <v>43</v>
      </c>
      <c r="M114" s="21">
        <v>0</v>
      </c>
    </row>
    <row r="115" spans="1:13" ht="18.75" customHeight="1" x14ac:dyDescent="0.3">
      <c r="A115" s="30">
        <v>2156</v>
      </c>
      <c r="B115" s="29"/>
      <c r="C115" s="5" t="s">
        <v>40</v>
      </c>
      <c r="D115" s="7">
        <v>405</v>
      </c>
      <c r="E115" s="31">
        <v>137728</v>
      </c>
      <c r="F115" s="29"/>
      <c r="G115" s="32">
        <v>45856</v>
      </c>
      <c r="H115" s="29"/>
      <c r="I115" s="5" t="s">
        <v>48</v>
      </c>
      <c r="J115" s="5" t="s">
        <v>29</v>
      </c>
      <c r="K115" s="5"/>
      <c r="L115" t="s">
        <v>43</v>
      </c>
      <c r="M115" s="21">
        <v>0</v>
      </c>
    </row>
    <row r="116" spans="1:13" ht="18.75" customHeight="1" x14ac:dyDescent="0.3">
      <c r="A116" s="30">
        <v>2157</v>
      </c>
      <c r="B116" s="29"/>
      <c r="C116" s="5" t="s">
        <v>40</v>
      </c>
      <c r="D116" s="7">
        <v>360</v>
      </c>
      <c r="E116" s="31">
        <v>137727</v>
      </c>
      <c r="F116" s="29"/>
      <c r="G116" s="32">
        <v>45856</v>
      </c>
      <c r="H116" s="29"/>
      <c r="I116" s="5" t="s">
        <v>48</v>
      </c>
      <c r="J116" s="5" t="s">
        <v>29</v>
      </c>
      <c r="K116" s="5"/>
      <c r="L116" t="s">
        <v>43</v>
      </c>
      <c r="M116" s="21">
        <v>0</v>
      </c>
    </row>
    <row r="117" spans="1:13" ht="18.75" customHeight="1" x14ac:dyDescent="0.3">
      <c r="A117" s="30">
        <v>2158</v>
      </c>
      <c r="B117" s="29"/>
      <c r="C117" s="5" t="s">
        <v>40</v>
      </c>
      <c r="D117" s="7">
        <v>520</v>
      </c>
      <c r="E117" s="31">
        <v>139006</v>
      </c>
      <c r="F117" s="29"/>
      <c r="G117" s="32">
        <v>45857</v>
      </c>
      <c r="H117" s="29"/>
      <c r="I117" s="5" t="s">
        <v>48</v>
      </c>
      <c r="J117" s="5" t="s">
        <v>29</v>
      </c>
      <c r="K117" s="5"/>
      <c r="L117" t="s">
        <v>42</v>
      </c>
      <c r="M117" s="21">
        <v>0</v>
      </c>
    </row>
    <row r="118" spans="1:13" ht="18.75" customHeight="1" x14ac:dyDescent="0.3">
      <c r="A118" s="30">
        <v>2159</v>
      </c>
      <c r="B118" s="29"/>
      <c r="C118" s="5" t="s">
        <v>40</v>
      </c>
      <c r="D118" s="7">
        <v>485</v>
      </c>
      <c r="E118" s="31">
        <v>139008</v>
      </c>
      <c r="F118" s="29"/>
      <c r="G118" s="32">
        <v>45857</v>
      </c>
      <c r="H118" s="29"/>
      <c r="I118" s="5" t="s">
        <v>48</v>
      </c>
      <c r="J118" s="5" t="s">
        <v>29</v>
      </c>
      <c r="K118" s="5"/>
      <c r="L118" t="s">
        <v>42</v>
      </c>
      <c r="M118" s="21">
        <v>0</v>
      </c>
    </row>
    <row r="119" spans="1:13" ht="18.75" customHeight="1" x14ac:dyDescent="0.3">
      <c r="A119" s="30">
        <v>2160</v>
      </c>
      <c r="B119" s="29"/>
      <c r="C119" s="5" t="s">
        <v>40</v>
      </c>
      <c r="D119" s="7">
        <v>600</v>
      </c>
      <c r="E119" s="31">
        <v>11281994</v>
      </c>
      <c r="F119" s="29"/>
      <c r="G119" s="32">
        <v>45847</v>
      </c>
      <c r="H119" s="29"/>
      <c r="I119" s="5" t="s">
        <v>50</v>
      </c>
      <c r="J119" s="5" t="s">
        <v>30</v>
      </c>
      <c r="K119" s="5"/>
      <c r="L119" t="s">
        <v>43</v>
      </c>
      <c r="M119" s="21">
        <v>0</v>
      </c>
    </row>
    <row r="120" spans="1:13" ht="18.75" customHeight="1" x14ac:dyDescent="0.3">
      <c r="A120" s="30">
        <v>2161</v>
      </c>
      <c r="B120" s="29"/>
      <c r="C120" s="5" t="s">
        <v>40</v>
      </c>
      <c r="D120" s="7">
        <v>600</v>
      </c>
      <c r="E120" s="31">
        <v>11281996</v>
      </c>
      <c r="F120" s="29"/>
      <c r="G120" s="32">
        <v>45847</v>
      </c>
      <c r="H120" s="29"/>
      <c r="I120" s="5" t="s">
        <v>48</v>
      </c>
      <c r="J120" s="5" t="s">
        <v>29</v>
      </c>
      <c r="K120" s="5"/>
      <c r="L120" t="s">
        <v>43</v>
      </c>
      <c r="M120" s="21">
        <v>0</v>
      </c>
    </row>
    <row r="121" spans="1:13" ht="18.75" customHeight="1" x14ac:dyDescent="0.3">
      <c r="A121" s="30">
        <v>2162</v>
      </c>
      <c r="B121" s="29"/>
      <c r="C121" s="5" t="s">
        <v>40</v>
      </c>
      <c r="D121" s="7">
        <v>600</v>
      </c>
      <c r="E121" s="31">
        <v>11291567</v>
      </c>
      <c r="F121" s="29"/>
      <c r="G121" s="32">
        <v>45852</v>
      </c>
      <c r="H121" s="29"/>
      <c r="I121" s="5" t="s">
        <v>50</v>
      </c>
      <c r="J121" s="5" t="s">
        <v>30</v>
      </c>
      <c r="K121" s="5"/>
      <c r="L121" t="s">
        <v>43</v>
      </c>
      <c r="M121" s="21">
        <v>0</v>
      </c>
    </row>
    <row r="122" spans="1:13" ht="18.75" customHeight="1" x14ac:dyDescent="0.3">
      <c r="A122" s="30">
        <v>2163</v>
      </c>
      <c r="B122" s="29"/>
      <c r="C122" s="5" t="s">
        <v>40</v>
      </c>
      <c r="D122" s="7">
        <v>600</v>
      </c>
      <c r="E122" s="31">
        <v>11287901</v>
      </c>
      <c r="F122" s="29"/>
      <c r="G122" s="32">
        <v>45852</v>
      </c>
      <c r="H122" s="29"/>
      <c r="I122" s="5" t="s">
        <v>48</v>
      </c>
      <c r="J122" s="5" t="s">
        <v>29</v>
      </c>
      <c r="K122" s="5"/>
      <c r="L122" t="s">
        <v>43</v>
      </c>
      <c r="M122" s="21">
        <v>0</v>
      </c>
    </row>
    <row r="123" spans="1:13" ht="18.75" customHeight="1" x14ac:dyDescent="0.3">
      <c r="A123" s="30">
        <v>2164</v>
      </c>
      <c r="B123" s="29"/>
      <c r="C123" s="5" t="s">
        <v>14</v>
      </c>
      <c r="D123" s="7">
        <v>327</v>
      </c>
      <c r="E123" s="31">
        <v>29462</v>
      </c>
      <c r="F123" s="29"/>
      <c r="G123" s="32">
        <v>45860</v>
      </c>
      <c r="H123" s="29"/>
      <c r="I123" s="22" t="s">
        <v>19</v>
      </c>
      <c r="J123" s="22" t="s">
        <v>16</v>
      </c>
      <c r="K123" s="22" t="s">
        <v>52</v>
      </c>
      <c r="L123" t="s">
        <v>26</v>
      </c>
      <c r="M123" s="21">
        <v>0</v>
      </c>
    </row>
    <row r="124" spans="1:13" ht="18.75" customHeight="1" x14ac:dyDescent="0.3">
      <c r="A124" s="30">
        <v>2165</v>
      </c>
      <c r="B124" s="29"/>
      <c r="C124" s="5" t="s">
        <v>14</v>
      </c>
      <c r="D124" s="7">
        <v>277</v>
      </c>
      <c r="E124" s="31">
        <v>29478</v>
      </c>
      <c r="F124" s="29"/>
      <c r="G124" s="32">
        <v>45861</v>
      </c>
      <c r="H124" s="29"/>
      <c r="I124" s="22" t="s">
        <v>19</v>
      </c>
      <c r="J124" s="22" t="s">
        <v>16</v>
      </c>
      <c r="K124" s="22" t="s">
        <v>52</v>
      </c>
      <c r="L124" t="s">
        <v>53</v>
      </c>
      <c r="M124" s="21">
        <v>0</v>
      </c>
    </row>
    <row r="125" spans="1:13" ht="18.75" customHeight="1" x14ac:dyDescent="0.3">
      <c r="A125" s="30">
        <v>2166</v>
      </c>
      <c r="B125" s="29"/>
      <c r="C125" s="5" t="s">
        <v>14</v>
      </c>
      <c r="D125" s="7">
        <v>205</v>
      </c>
      <c r="E125" s="31">
        <v>29482</v>
      </c>
      <c r="F125" s="29"/>
      <c r="G125" s="32">
        <v>45862</v>
      </c>
      <c r="H125" s="29"/>
      <c r="I125" s="22" t="s">
        <v>19</v>
      </c>
      <c r="J125" s="22" t="s">
        <v>16</v>
      </c>
      <c r="K125" s="22" t="s">
        <v>52</v>
      </c>
      <c r="L125" t="s">
        <v>26</v>
      </c>
      <c r="M125" s="21">
        <v>0</v>
      </c>
    </row>
    <row r="126" spans="1:13" ht="18.75" customHeight="1" x14ac:dyDescent="0.3">
      <c r="A126" s="30">
        <v>2167</v>
      </c>
      <c r="B126" s="29"/>
      <c r="C126" s="5" t="s">
        <v>14</v>
      </c>
      <c r="D126" s="7">
        <v>259</v>
      </c>
      <c r="E126" s="31">
        <v>29495</v>
      </c>
      <c r="F126" s="29"/>
      <c r="G126" s="32">
        <v>45863</v>
      </c>
      <c r="H126" s="29"/>
      <c r="I126" s="22" t="s">
        <v>19</v>
      </c>
      <c r="J126" s="22" t="s">
        <v>16</v>
      </c>
      <c r="K126" s="22" t="s">
        <v>52</v>
      </c>
      <c r="L126" t="s">
        <v>36</v>
      </c>
      <c r="M126" s="21">
        <v>0</v>
      </c>
    </row>
    <row r="127" spans="1:13" ht="18.75" customHeight="1" x14ac:dyDescent="0.3">
      <c r="A127" s="30">
        <v>2168</v>
      </c>
      <c r="B127" s="29"/>
      <c r="C127" s="5" t="s">
        <v>14</v>
      </c>
      <c r="D127" s="7">
        <v>254</v>
      </c>
      <c r="E127" s="31">
        <v>29504</v>
      </c>
      <c r="F127" s="29"/>
      <c r="G127" s="32">
        <v>45864</v>
      </c>
      <c r="H127" s="29"/>
      <c r="I127" s="22" t="s">
        <v>19</v>
      </c>
      <c r="J127" s="22" t="s">
        <v>16</v>
      </c>
      <c r="K127" s="22" t="s">
        <v>52</v>
      </c>
      <c r="L127" t="s">
        <v>22</v>
      </c>
      <c r="M127" s="21">
        <v>0</v>
      </c>
    </row>
    <row r="128" spans="1:13" ht="18.75" customHeight="1" x14ac:dyDescent="0.3">
      <c r="A128" s="30">
        <v>2169</v>
      </c>
      <c r="B128" s="29"/>
      <c r="C128" s="5" t="s">
        <v>14</v>
      </c>
      <c r="D128" s="7">
        <v>309</v>
      </c>
      <c r="E128" s="31">
        <v>29468</v>
      </c>
      <c r="F128" s="29"/>
      <c r="G128" s="32">
        <v>45860</v>
      </c>
      <c r="H128" s="29"/>
      <c r="I128" s="5" t="s">
        <v>54</v>
      </c>
      <c r="J128" s="5" t="s">
        <v>29</v>
      </c>
      <c r="K128" s="5" t="s">
        <v>55</v>
      </c>
      <c r="L128" t="s">
        <v>22</v>
      </c>
      <c r="M128" s="21">
        <v>0</v>
      </c>
    </row>
    <row r="129" spans="1:13" ht="18.75" customHeight="1" x14ac:dyDescent="0.3">
      <c r="A129" s="30">
        <v>2170</v>
      </c>
      <c r="B129" s="29"/>
      <c r="C129" s="5" t="s">
        <v>14</v>
      </c>
      <c r="D129" s="7">
        <v>406</v>
      </c>
      <c r="E129" s="31">
        <v>29477</v>
      </c>
      <c r="F129" s="29"/>
      <c r="G129" s="32">
        <v>45861</v>
      </c>
      <c r="H129" s="29"/>
      <c r="I129" s="5" t="s">
        <v>54</v>
      </c>
      <c r="J129" s="5" t="s">
        <v>29</v>
      </c>
      <c r="K129" s="5" t="s">
        <v>55</v>
      </c>
      <c r="L129" t="s">
        <v>27</v>
      </c>
      <c r="M129" s="21">
        <v>0</v>
      </c>
    </row>
    <row r="130" spans="1:13" ht="18.75" customHeight="1" x14ac:dyDescent="0.3">
      <c r="A130" s="30">
        <v>2171</v>
      </c>
      <c r="B130" s="29"/>
      <c r="C130" s="5" t="s">
        <v>14</v>
      </c>
      <c r="D130" s="7">
        <v>452</v>
      </c>
      <c r="E130" s="31">
        <v>29494</v>
      </c>
      <c r="F130" s="29"/>
      <c r="G130" s="32">
        <v>45863</v>
      </c>
      <c r="H130" s="29"/>
      <c r="I130" s="5" t="s">
        <v>54</v>
      </c>
      <c r="J130" s="5" t="s">
        <v>29</v>
      </c>
      <c r="K130" s="5" t="s">
        <v>55</v>
      </c>
      <c r="L130" t="s">
        <v>25</v>
      </c>
      <c r="M130" s="21">
        <v>0</v>
      </c>
    </row>
    <row r="131" spans="1:13" ht="18.75" customHeight="1" x14ac:dyDescent="0.3">
      <c r="A131" s="30">
        <v>2172</v>
      </c>
      <c r="B131" s="29"/>
      <c r="C131" s="5" t="s">
        <v>40</v>
      </c>
      <c r="D131" s="7">
        <v>630</v>
      </c>
      <c r="E131" s="31">
        <v>137733</v>
      </c>
      <c r="F131" s="29"/>
      <c r="G131" s="32">
        <v>45862</v>
      </c>
      <c r="H131" s="29"/>
      <c r="I131" s="5" t="s">
        <v>48</v>
      </c>
      <c r="J131" s="5" t="s">
        <v>29</v>
      </c>
      <c r="K131" s="5"/>
      <c r="L131" t="s">
        <v>56</v>
      </c>
      <c r="M131" s="6">
        <v>1072</v>
      </c>
    </row>
    <row r="132" spans="1:13" ht="18.75" customHeight="1" x14ac:dyDescent="0.3">
      <c r="A132" s="30">
        <v>2173</v>
      </c>
      <c r="B132" s="29"/>
      <c r="C132" s="5" t="s">
        <v>40</v>
      </c>
      <c r="D132" s="7">
        <v>492</v>
      </c>
      <c r="E132" s="31">
        <v>138481</v>
      </c>
      <c r="F132" s="29"/>
      <c r="G132" s="32">
        <v>45862</v>
      </c>
      <c r="H132" s="29"/>
      <c r="I132" s="5" t="s">
        <v>48</v>
      </c>
      <c r="J132" s="5" t="s">
        <v>29</v>
      </c>
      <c r="K132" s="5"/>
      <c r="L132" t="s">
        <v>57</v>
      </c>
      <c r="M132" s="6">
        <v>1073</v>
      </c>
    </row>
    <row r="133" spans="1:13" ht="18.75" customHeight="1" x14ac:dyDescent="0.3">
      <c r="A133" s="30">
        <v>2174</v>
      </c>
      <c r="B133" s="29"/>
      <c r="C133" s="5" t="s">
        <v>40</v>
      </c>
      <c r="D133" s="7">
        <v>527</v>
      </c>
      <c r="E133" s="31">
        <v>139023</v>
      </c>
      <c r="F133" s="29"/>
      <c r="G133" s="32">
        <v>45864</v>
      </c>
      <c r="H133" s="29"/>
      <c r="I133" s="5" t="s">
        <v>48</v>
      </c>
      <c r="J133" s="5" t="s">
        <v>29</v>
      </c>
      <c r="K133" s="5"/>
      <c r="L133" t="s">
        <v>56</v>
      </c>
      <c r="M133" s="6">
        <v>1074</v>
      </c>
    </row>
    <row r="134" spans="1:13" ht="18.75" customHeight="1" x14ac:dyDescent="0.3">
      <c r="A134" s="30">
        <v>2175</v>
      </c>
      <c r="B134" s="29"/>
      <c r="C134" s="5" t="s">
        <v>40</v>
      </c>
      <c r="D134" s="7">
        <v>517</v>
      </c>
      <c r="E134" s="31">
        <v>138474</v>
      </c>
      <c r="F134" s="29"/>
      <c r="G134" s="32">
        <v>45858</v>
      </c>
      <c r="H134" s="29"/>
      <c r="I134" s="5" t="s">
        <v>19</v>
      </c>
      <c r="J134" s="5" t="s">
        <v>29</v>
      </c>
      <c r="K134" s="5"/>
      <c r="L134" t="s">
        <v>57</v>
      </c>
      <c r="M134" s="6">
        <v>1075</v>
      </c>
    </row>
    <row r="135" spans="1:13" ht="18.75" customHeight="1" x14ac:dyDescent="0.3">
      <c r="A135" s="30">
        <v>2176</v>
      </c>
      <c r="B135" s="29"/>
      <c r="C135" s="5" t="s">
        <v>40</v>
      </c>
      <c r="D135" s="7">
        <v>549</v>
      </c>
      <c r="E135" s="31">
        <v>139634</v>
      </c>
      <c r="F135" s="29"/>
      <c r="G135" s="32">
        <v>45858</v>
      </c>
      <c r="H135" s="29"/>
      <c r="I135" s="5" t="s">
        <v>19</v>
      </c>
      <c r="J135" s="5" t="s">
        <v>29</v>
      </c>
      <c r="K135" s="5"/>
      <c r="L135" t="s">
        <v>41</v>
      </c>
      <c r="M135" s="6">
        <v>1076</v>
      </c>
    </row>
    <row r="136" spans="1:13" ht="18.75" customHeight="1" x14ac:dyDescent="0.3">
      <c r="A136" s="30">
        <v>2177</v>
      </c>
      <c r="B136" s="29"/>
      <c r="C136" s="5" t="s">
        <v>40</v>
      </c>
      <c r="D136" s="7">
        <v>405</v>
      </c>
      <c r="E136" s="31">
        <v>137730</v>
      </c>
      <c r="F136" s="29"/>
      <c r="G136" s="32">
        <v>45859</v>
      </c>
      <c r="H136" s="29"/>
      <c r="I136" s="5" t="s">
        <v>48</v>
      </c>
      <c r="J136" s="5" t="s">
        <v>30</v>
      </c>
      <c r="K136" s="5"/>
      <c r="L136" t="s">
        <v>43</v>
      </c>
      <c r="M136" s="6">
        <v>1077</v>
      </c>
    </row>
    <row r="137" spans="1:13" ht="18.75" customHeight="1" x14ac:dyDescent="0.3">
      <c r="A137" s="30">
        <v>2178</v>
      </c>
      <c r="B137" s="29"/>
      <c r="C137" s="5" t="s">
        <v>40</v>
      </c>
      <c r="D137" s="7">
        <v>662</v>
      </c>
      <c r="E137" s="31">
        <v>138475</v>
      </c>
      <c r="F137" s="29"/>
      <c r="G137" s="32">
        <v>45859</v>
      </c>
      <c r="H137" s="29"/>
      <c r="I137" s="5" t="s">
        <v>48</v>
      </c>
      <c r="J137" s="5" t="s">
        <v>29</v>
      </c>
      <c r="K137" s="5"/>
      <c r="L137" t="s">
        <v>57</v>
      </c>
      <c r="M137" s="6">
        <v>1078</v>
      </c>
    </row>
    <row r="138" spans="1:13" ht="18.75" customHeight="1" x14ac:dyDescent="0.3">
      <c r="A138" s="30">
        <v>2179</v>
      </c>
      <c r="B138" s="29"/>
      <c r="C138" s="5" t="s">
        <v>40</v>
      </c>
      <c r="D138" s="7">
        <v>496</v>
      </c>
      <c r="E138" s="31">
        <v>139011</v>
      </c>
      <c r="F138" s="29"/>
      <c r="G138" s="32">
        <v>45860</v>
      </c>
      <c r="H138" s="29"/>
      <c r="I138" s="5" t="s">
        <v>48</v>
      </c>
      <c r="J138" s="5" t="s">
        <v>30</v>
      </c>
      <c r="K138" s="5"/>
      <c r="L138" t="s">
        <v>42</v>
      </c>
      <c r="M138" s="6">
        <v>1079</v>
      </c>
    </row>
    <row r="139" spans="1:13" ht="18.75" customHeight="1" x14ac:dyDescent="0.3">
      <c r="A139" s="30">
        <v>2180</v>
      </c>
      <c r="B139" s="29"/>
      <c r="C139" s="5" t="s">
        <v>40</v>
      </c>
      <c r="D139" s="7">
        <v>348</v>
      </c>
      <c r="E139" s="31">
        <v>139638</v>
      </c>
      <c r="F139" s="29"/>
      <c r="G139" s="32">
        <v>45861</v>
      </c>
      <c r="H139" s="29"/>
      <c r="I139" s="5" t="s">
        <v>48</v>
      </c>
      <c r="J139" s="5" t="s">
        <v>29</v>
      </c>
      <c r="K139" s="5"/>
      <c r="L139" t="s">
        <v>41</v>
      </c>
      <c r="M139" s="6">
        <v>1080</v>
      </c>
    </row>
    <row r="140" spans="1:13" ht="18.75" customHeight="1" x14ac:dyDescent="0.3">
      <c r="A140" s="30">
        <v>2181</v>
      </c>
      <c r="B140" s="29"/>
      <c r="C140" s="5" t="s">
        <v>40</v>
      </c>
      <c r="D140" s="7">
        <v>630</v>
      </c>
      <c r="E140" s="31">
        <v>137732</v>
      </c>
      <c r="F140" s="29"/>
      <c r="G140" s="32">
        <v>45861</v>
      </c>
      <c r="H140" s="29"/>
      <c r="I140" s="5" t="s">
        <v>48</v>
      </c>
      <c r="J140" s="5" t="s">
        <v>29</v>
      </c>
      <c r="K140" s="5"/>
      <c r="L140" t="s">
        <v>56</v>
      </c>
      <c r="M140" s="6">
        <v>1081</v>
      </c>
    </row>
    <row r="141" spans="1:13" ht="18.75" customHeight="1" x14ac:dyDescent="0.3">
      <c r="A141" s="30">
        <v>2182</v>
      </c>
      <c r="B141" s="29"/>
      <c r="C141" s="5" t="s">
        <v>40</v>
      </c>
      <c r="D141" s="7">
        <v>478</v>
      </c>
      <c r="E141" s="31">
        <v>138480</v>
      </c>
      <c r="F141" s="29"/>
      <c r="G141" s="32">
        <v>45861</v>
      </c>
      <c r="H141" s="29"/>
      <c r="I141" s="5" t="s">
        <v>48</v>
      </c>
      <c r="J141" s="5" t="s">
        <v>29</v>
      </c>
      <c r="K141" s="5"/>
      <c r="L141" t="s">
        <v>57</v>
      </c>
      <c r="M141" s="6">
        <v>1082</v>
      </c>
    </row>
    <row r="142" spans="1:13" ht="18.75" customHeight="1" x14ac:dyDescent="0.3">
      <c r="A142" s="30">
        <v>2183</v>
      </c>
      <c r="B142" s="29"/>
      <c r="C142" s="5" t="s">
        <v>40</v>
      </c>
      <c r="D142" s="7">
        <v>360</v>
      </c>
      <c r="E142" s="31">
        <v>137731</v>
      </c>
      <c r="F142" s="29"/>
      <c r="G142" s="32">
        <v>45861</v>
      </c>
      <c r="H142" s="29"/>
      <c r="I142" s="5" t="s">
        <v>48</v>
      </c>
      <c r="J142" s="5" t="s">
        <v>29</v>
      </c>
      <c r="K142" s="5"/>
      <c r="L142" t="s">
        <v>56</v>
      </c>
      <c r="M142" s="6">
        <v>1083</v>
      </c>
    </row>
    <row r="143" spans="1:13" ht="18.75" customHeight="1" x14ac:dyDescent="0.3">
      <c r="A143" s="30">
        <v>2184</v>
      </c>
      <c r="B143" s="29"/>
      <c r="C143" s="5" t="s">
        <v>40</v>
      </c>
      <c r="D143" s="7">
        <v>632</v>
      </c>
      <c r="E143" s="31">
        <v>139019</v>
      </c>
      <c r="F143" s="29"/>
      <c r="G143" s="32">
        <v>45863</v>
      </c>
      <c r="H143" s="29"/>
      <c r="I143" s="5" t="s">
        <v>48</v>
      </c>
      <c r="J143" s="5" t="s">
        <v>30</v>
      </c>
      <c r="K143" s="5"/>
      <c r="L143" t="s">
        <v>42</v>
      </c>
      <c r="M143" s="6">
        <v>1084</v>
      </c>
    </row>
    <row r="144" spans="1:13" ht="18.75" customHeight="1" x14ac:dyDescent="0.3">
      <c r="A144" s="30">
        <v>2185</v>
      </c>
      <c r="B144" s="29"/>
      <c r="C144" s="5" t="s">
        <v>40</v>
      </c>
      <c r="D144" s="7">
        <v>644</v>
      </c>
      <c r="E144" s="31">
        <v>139053</v>
      </c>
      <c r="F144" s="29"/>
      <c r="G144" s="32">
        <v>45863</v>
      </c>
      <c r="H144" s="29"/>
      <c r="I144" s="5" t="s">
        <v>48</v>
      </c>
      <c r="J144" s="5" t="s">
        <v>29</v>
      </c>
      <c r="K144" s="5"/>
      <c r="L144" t="s">
        <v>56</v>
      </c>
      <c r="M144" s="6">
        <v>1085</v>
      </c>
    </row>
    <row r="145" spans="1:13" ht="18.75" customHeight="1" x14ac:dyDescent="0.3">
      <c r="A145" s="30">
        <v>2186</v>
      </c>
      <c r="B145" s="29"/>
      <c r="C145" s="5" t="s">
        <v>40</v>
      </c>
      <c r="D145" s="7">
        <v>522</v>
      </c>
      <c r="E145" s="31">
        <v>139021</v>
      </c>
      <c r="F145" s="29"/>
      <c r="G145" s="32">
        <v>45863</v>
      </c>
      <c r="H145" s="29"/>
      <c r="I145" s="5" t="s">
        <v>48</v>
      </c>
      <c r="J145" s="5" t="s">
        <v>30</v>
      </c>
      <c r="K145" s="5"/>
      <c r="L145" t="s">
        <v>42</v>
      </c>
      <c r="M145" s="6">
        <v>1086</v>
      </c>
    </row>
    <row r="146" spans="1:13" ht="18.75" customHeight="1" x14ac:dyDescent="0.3">
      <c r="A146" s="30">
        <v>2187</v>
      </c>
      <c r="B146" s="29"/>
      <c r="C146" s="5" t="s">
        <v>40</v>
      </c>
      <c r="D146" s="7">
        <v>490</v>
      </c>
      <c r="E146" s="31">
        <v>139025</v>
      </c>
      <c r="F146" s="29"/>
      <c r="G146" s="32">
        <v>45864</v>
      </c>
      <c r="H146" s="29"/>
      <c r="I146" s="5" t="s">
        <v>48</v>
      </c>
      <c r="J146" s="5" t="s">
        <v>29</v>
      </c>
      <c r="K146" s="5"/>
      <c r="L146" t="s">
        <v>42</v>
      </c>
      <c r="M146" s="6">
        <v>1087</v>
      </c>
    </row>
    <row r="147" spans="1:13" ht="18.75" customHeight="1" x14ac:dyDescent="0.3">
      <c r="A147" s="30">
        <v>2188</v>
      </c>
      <c r="B147" s="29"/>
      <c r="C147" s="5" t="s">
        <v>14</v>
      </c>
      <c r="D147" s="7">
        <v>340</v>
      </c>
      <c r="E147" s="31">
        <v>29520</v>
      </c>
      <c r="F147" s="29"/>
      <c r="G147" s="32">
        <v>45866</v>
      </c>
      <c r="H147" s="29"/>
      <c r="I147" s="22" t="s">
        <v>19</v>
      </c>
      <c r="J147" s="22" t="s">
        <v>16</v>
      </c>
      <c r="K147" s="22" t="s">
        <v>52</v>
      </c>
      <c r="L147" t="s">
        <v>27</v>
      </c>
      <c r="M147" s="25"/>
    </row>
    <row r="148" spans="1:13" ht="18.75" customHeight="1" x14ac:dyDescent="0.3">
      <c r="A148" s="30">
        <v>2189</v>
      </c>
      <c r="B148" s="29"/>
      <c r="C148" s="5" t="s">
        <v>14</v>
      </c>
      <c r="D148" s="7">
        <v>307</v>
      </c>
      <c r="E148" s="31">
        <v>29532</v>
      </c>
      <c r="F148" s="29"/>
      <c r="G148" s="32">
        <v>45867</v>
      </c>
      <c r="H148" s="29"/>
      <c r="I148" s="22" t="s">
        <v>19</v>
      </c>
      <c r="J148" s="22" t="s">
        <v>16</v>
      </c>
      <c r="K148" s="22" t="s">
        <v>52</v>
      </c>
      <c r="L148" t="s">
        <v>36</v>
      </c>
      <c r="M148" s="25"/>
    </row>
    <row r="149" spans="1:13" ht="18.75" customHeight="1" x14ac:dyDescent="0.3">
      <c r="A149" s="30">
        <v>2190</v>
      </c>
      <c r="B149" s="29"/>
      <c r="C149" s="5" t="s">
        <v>14</v>
      </c>
      <c r="D149" s="7">
        <v>260</v>
      </c>
      <c r="E149" s="31">
        <v>29546</v>
      </c>
      <c r="F149" s="29"/>
      <c r="G149" s="32">
        <v>45868</v>
      </c>
      <c r="H149" s="29"/>
      <c r="I149" s="22" t="s">
        <v>19</v>
      </c>
      <c r="J149" s="22" t="s">
        <v>16</v>
      </c>
      <c r="K149" s="22" t="s">
        <v>52</v>
      </c>
      <c r="L149" t="s">
        <v>53</v>
      </c>
      <c r="M149" s="25"/>
    </row>
    <row r="150" spans="1:13" ht="18.75" customHeight="1" x14ac:dyDescent="0.3">
      <c r="A150" s="30">
        <v>2191</v>
      </c>
      <c r="B150" s="29"/>
      <c r="C150" s="5" t="s">
        <v>14</v>
      </c>
      <c r="D150" s="7">
        <v>248</v>
      </c>
      <c r="E150" s="31">
        <v>29550</v>
      </c>
      <c r="F150" s="29"/>
      <c r="G150" s="32">
        <v>45869</v>
      </c>
      <c r="H150" s="29"/>
      <c r="I150" s="22" t="s">
        <v>19</v>
      </c>
      <c r="J150" s="22" t="s">
        <v>16</v>
      </c>
      <c r="K150" s="22" t="s">
        <v>52</v>
      </c>
      <c r="L150" t="s">
        <v>26</v>
      </c>
      <c r="M150" s="25"/>
    </row>
    <row r="151" spans="1:13" ht="18.75" customHeight="1" x14ac:dyDescent="0.3">
      <c r="A151" s="30">
        <v>2192</v>
      </c>
      <c r="B151" s="29"/>
      <c r="C151" s="5" t="s">
        <v>14</v>
      </c>
      <c r="D151" s="7">
        <v>321</v>
      </c>
      <c r="E151" s="31">
        <v>29560</v>
      </c>
      <c r="F151" s="29"/>
      <c r="G151" s="32">
        <v>45870</v>
      </c>
      <c r="H151" s="29"/>
      <c r="I151" s="22" t="s">
        <v>19</v>
      </c>
      <c r="J151" s="22" t="s">
        <v>16</v>
      </c>
      <c r="K151" s="22" t="s">
        <v>52</v>
      </c>
      <c r="L151" t="s">
        <v>27</v>
      </c>
      <c r="M151" s="25"/>
    </row>
    <row r="152" spans="1:13" ht="18.75" customHeight="1" x14ac:dyDescent="0.3">
      <c r="A152" s="30">
        <v>2193</v>
      </c>
      <c r="B152" s="29"/>
      <c r="C152" s="5" t="s">
        <v>14</v>
      </c>
      <c r="D152" s="7">
        <v>232</v>
      </c>
      <c r="E152" s="31">
        <v>29571</v>
      </c>
      <c r="F152" s="29"/>
      <c r="G152" s="32">
        <v>45871</v>
      </c>
      <c r="H152" s="29"/>
      <c r="I152" s="22" t="s">
        <v>19</v>
      </c>
      <c r="J152" s="22" t="s">
        <v>16</v>
      </c>
      <c r="K152" s="22" t="s">
        <v>52</v>
      </c>
      <c r="L152" s="26" t="s">
        <v>26</v>
      </c>
      <c r="M152" s="25"/>
    </row>
    <row r="153" spans="1:13" ht="18.75" customHeight="1" x14ac:dyDescent="0.3">
      <c r="A153" s="30">
        <v>2194</v>
      </c>
      <c r="B153" s="29"/>
      <c r="C153" s="5" t="s">
        <v>14</v>
      </c>
      <c r="D153" s="7">
        <v>359</v>
      </c>
      <c r="E153" s="31">
        <v>29502</v>
      </c>
      <c r="F153" s="29"/>
      <c r="G153" s="32">
        <v>45864</v>
      </c>
      <c r="H153" s="29"/>
      <c r="I153" s="5" t="s">
        <v>54</v>
      </c>
      <c r="J153" s="5" t="s">
        <v>29</v>
      </c>
      <c r="K153" s="5" t="s">
        <v>55</v>
      </c>
      <c r="L153" t="s">
        <v>26</v>
      </c>
      <c r="M153" s="25"/>
    </row>
    <row r="154" spans="1:13" ht="18.75" customHeight="1" x14ac:dyDescent="0.3">
      <c r="A154" s="30">
        <v>2195</v>
      </c>
      <c r="B154" s="29"/>
      <c r="C154" s="5" t="s">
        <v>14</v>
      </c>
      <c r="D154" s="7">
        <v>369</v>
      </c>
      <c r="E154" s="31">
        <v>29527</v>
      </c>
      <c r="F154" s="29"/>
      <c r="G154" s="32">
        <v>45866</v>
      </c>
      <c r="H154" s="29"/>
      <c r="I154" s="5" t="s">
        <v>54</v>
      </c>
      <c r="J154" s="5" t="s">
        <v>29</v>
      </c>
      <c r="K154" s="5" t="s">
        <v>55</v>
      </c>
      <c r="L154" t="s">
        <v>58</v>
      </c>
      <c r="M154" s="25"/>
    </row>
    <row r="155" spans="1:13" ht="18.75" customHeight="1" x14ac:dyDescent="0.3">
      <c r="A155" s="30">
        <v>2196</v>
      </c>
      <c r="B155" s="29"/>
      <c r="C155" s="5" t="s">
        <v>14</v>
      </c>
      <c r="D155" s="7">
        <v>539</v>
      </c>
      <c r="E155" s="31">
        <v>29533</v>
      </c>
      <c r="F155" s="29"/>
      <c r="G155" s="32">
        <v>45867</v>
      </c>
      <c r="H155" s="29"/>
      <c r="I155" s="5" t="s">
        <v>54</v>
      </c>
      <c r="J155" s="5" t="s">
        <v>29</v>
      </c>
      <c r="K155" s="5" t="s">
        <v>55</v>
      </c>
      <c r="L155" t="s">
        <v>24</v>
      </c>
      <c r="M155" s="25"/>
    </row>
    <row r="156" spans="1:13" ht="18.75" customHeight="1" x14ac:dyDescent="0.3">
      <c r="A156" s="30">
        <v>2197</v>
      </c>
      <c r="B156" s="29"/>
      <c r="C156" s="5" t="s">
        <v>14</v>
      </c>
      <c r="D156" s="7">
        <v>435</v>
      </c>
      <c r="E156" s="31">
        <v>29542</v>
      </c>
      <c r="F156" s="29"/>
      <c r="G156" s="32">
        <v>45868</v>
      </c>
      <c r="H156" s="29"/>
      <c r="I156" s="5" t="s">
        <v>54</v>
      </c>
      <c r="J156" s="5" t="s">
        <v>29</v>
      </c>
      <c r="K156" s="5" t="s">
        <v>55</v>
      </c>
      <c r="L156" t="s">
        <v>38</v>
      </c>
      <c r="M156" s="25"/>
    </row>
    <row r="157" spans="1:13" ht="18.75" customHeight="1" x14ac:dyDescent="0.3">
      <c r="A157" s="30">
        <v>2198</v>
      </c>
      <c r="B157" s="29"/>
      <c r="C157" s="5" t="s">
        <v>14</v>
      </c>
      <c r="D157" s="7">
        <v>364</v>
      </c>
      <c r="E157" s="31">
        <v>29551</v>
      </c>
      <c r="F157" s="29"/>
      <c r="G157" s="32">
        <v>45869</v>
      </c>
      <c r="H157" s="29"/>
      <c r="I157" s="5" t="s">
        <v>54</v>
      </c>
      <c r="J157" s="5" t="s">
        <v>29</v>
      </c>
      <c r="K157" s="5" t="s">
        <v>55</v>
      </c>
      <c r="L157" t="s">
        <v>24</v>
      </c>
      <c r="M157" s="25"/>
    </row>
    <row r="158" spans="1:13" ht="18.75" customHeight="1" x14ac:dyDescent="0.3">
      <c r="A158" s="30">
        <v>2199</v>
      </c>
      <c r="B158" s="29"/>
      <c r="C158" s="5" t="s">
        <v>14</v>
      </c>
      <c r="D158" s="7">
        <v>393</v>
      </c>
      <c r="E158" s="31">
        <v>29559</v>
      </c>
      <c r="F158" s="29"/>
      <c r="G158" s="32">
        <v>45870</v>
      </c>
      <c r="H158" s="29"/>
      <c r="I158" s="5" t="s">
        <v>54</v>
      </c>
      <c r="J158" s="5" t="s">
        <v>29</v>
      </c>
      <c r="K158" s="5" t="s">
        <v>55</v>
      </c>
      <c r="L158" t="s">
        <v>26</v>
      </c>
      <c r="M158" s="25"/>
    </row>
    <row r="159" spans="1:13" ht="18.75" customHeight="1" x14ac:dyDescent="0.3">
      <c r="A159" s="30">
        <v>2200</v>
      </c>
      <c r="B159" s="29"/>
      <c r="C159" s="5" t="s">
        <v>40</v>
      </c>
      <c r="D159" s="7">
        <v>280</v>
      </c>
      <c r="E159" s="31">
        <v>138503</v>
      </c>
      <c r="F159" s="29"/>
      <c r="G159" s="32">
        <v>45866</v>
      </c>
      <c r="H159" s="29"/>
      <c r="I159" s="5" t="s">
        <v>48</v>
      </c>
      <c r="J159" s="5" t="s">
        <v>29</v>
      </c>
      <c r="K159" s="5"/>
      <c r="L159" t="s">
        <v>43</v>
      </c>
      <c r="M159" s="27">
        <v>1088</v>
      </c>
    </row>
    <row r="160" spans="1:13" ht="18.75" customHeight="1" x14ac:dyDescent="0.3">
      <c r="A160" s="30">
        <v>2201</v>
      </c>
      <c r="B160" s="29"/>
      <c r="C160" s="5" t="s">
        <v>40</v>
      </c>
      <c r="D160" s="7">
        <v>490</v>
      </c>
      <c r="E160" s="31">
        <v>139029</v>
      </c>
      <c r="F160" s="29"/>
      <c r="G160" s="32">
        <v>45866</v>
      </c>
      <c r="H160" s="29"/>
      <c r="I160" s="5" t="s">
        <v>48</v>
      </c>
      <c r="J160" s="5" t="s">
        <v>29</v>
      </c>
      <c r="K160" s="5"/>
      <c r="L160" t="s">
        <v>42</v>
      </c>
      <c r="M160" s="27">
        <v>1089</v>
      </c>
    </row>
    <row r="161" spans="1:13" ht="18.75" customHeight="1" x14ac:dyDescent="0.3">
      <c r="A161" s="30">
        <v>2202</v>
      </c>
      <c r="B161" s="29"/>
      <c r="C161" s="5" t="s">
        <v>40</v>
      </c>
      <c r="D161" s="7">
        <v>353</v>
      </c>
      <c r="E161" s="31">
        <v>139355</v>
      </c>
      <c r="F161" s="29"/>
      <c r="G161" s="32">
        <v>45867</v>
      </c>
      <c r="H161" s="29"/>
      <c r="I161" s="5" t="s">
        <v>48</v>
      </c>
      <c r="J161" s="5" t="s">
        <v>29</v>
      </c>
      <c r="K161" s="5"/>
      <c r="L161" t="s">
        <v>41</v>
      </c>
      <c r="M161" s="27">
        <v>1090</v>
      </c>
    </row>
    <row r="162" spans="1:13" ht="18.75" customHeight="1" x14ac:dyDescent="0.3">
      <c r="A162" s="30">
        <v>2203</v>
      </c>
      <c r="B162" s="29"/>
      <c r="C162" s="5" t="s">
        <v>40</v>
      </c>
      <c r="D162" s="7">
        <v>630</v>
      </c>
      <c r="E162" s="31">
        <v>137738</v>
      </c>
      <c r="F162" s="29"/>
      <c r="G162" s="32">
        <v>45867</v>
      </c>
      <c r="H162" s="29"/>
      <c r="I162" s="5" t="s">
        <v>48</v>
      </c>
      <c r="J162" s="5" t="s">
        <v>29</v>
      </c>
      <c r="K162" s="5"/>
      <c r="L162" t="s">
        <v>56</v>
      </c>
      <c r="M162" s="27">
        <v>1091</v>
      </c>
    </row>
    <row r="163" spans="1:13" ht="18.75" customHeight="1" x14ac:dyDescent="0.3">
      <c r="A163" s="30">
        <v>2204</v>
      </c>
      <c r="B163" s="29"/>
      <c r="C163" s="5" t="s">
        <v>40</v>
      </c>
      <c r="D163" s="7">
        <v>520</v>
      </c>
      <c r="E163" s="31">
        <v>138506</v>
      </c>
      <c r="F163" s="29"/>
      <c r="G163" s="32">
        <v>45868</v>
      </c>
      <c r="H163" s="29"/>
      <c r="I163" s="5" t="s">
        <v>48</v>
      </c>
      <c r="J163" s="5" t="s">
        <v>29</v>
      </c>
      <c r="K163" s="5"/>
      <c r="L163" t="s">
        <v>43</v>
      </c>
      <c r="M163" s="27">
        <v>1092</v>
      </c>
    </row>
    <row r="164" spans="1:13" ht="18.75" customHeight="1" x14ac:dyDescent="0.3">
      <c r="A164" s="30">
        <v>2205</v>
      </c>
      <c r="B164" s="29"/>
      <c r="C164" s="5" t="s">
        <v>40</v>
      </c>
      <c r="D164" s="7">
        <v>630</v>
      </c>
      <c r="E164" s="31">
        <v>137743</v>
      </c>
      <c r="F164" s="29"/>
      <c r="G164" s="32">
        <v>45869</v>
      </c>
      <c r="H164" s="29"/>
      <c r="I164" s="5" t="s">
        <v>48</v>
      </c>
      <c r="J164" s="5" t="s">
        <v>29</v>
      </c>
      <c r="K164" s="5"/>
      <c r="L164" t="s">
        <v>56</v>
      </c>
      <c r="M164" s="27">
        <v>1093</v>
      </c>
    </row>
    <row r="165" spans="1:13" ht="18.75" customHeight="1" x14ac:dyDescent="0.3">
      <c r="A165" s="30">
        <v>2206</v>
      </c>
      <c r="B165" s="29"/>
      <c r="C165" s="5" t="s">
        <v>40</v>
      </c>
      <c r="D165" s="7">
        <v>313</v>
      </c>
      <c r="E165" s="31">
        <v>138495</v>
      </c>
      <c r="F165" s="29"/>
      <c r="G165" s="32">
        <v>45870</v>
      </c>
      <c r="H165" s="29"/>
      <c r="I165" s="5" t="s">
        <v>48</v>
      </c>
      <c r="J165" s="5" t="s">
        <v>29</v>
      </c>
      <c r="K165" s="5"/>
      <c r="L165" t="s">
        <v>57</v>
      </c>
      <c r="M165" s="27">
        <v>1094</v>
      </c>
    </row>
    <row r="166" spans="1:13" ht="18.75" customHeight="1" x14ac:dyDescent="0.3">
      <c r="A166" s="30">
        <v>2207</v>
      </c>
      <c r="B166" s="29"/>
      <c r="C166" s="5" t="s">
        <v>40</v>
      </c>
      <c r="D166" s="7">
        <v>485</v>
      </c>
      <c r="E166" s="31">
        <v>139365</v>
      </c>
      <c r="F166" s="29"/>
      <c r="G166" s="32">
        <v>45870</v>
      </c>
      <c r="H166" s="29"/>
      <c r="I166" s="5" t="s">
        <v>48</v>
      </c>
      <c r="J166" s="5" t="s">
        <v>29</v>
      </c>
      <c r="K166" s="5"/>
      <c r="L166" t="s">
        <v>41</v>
      </c>
      <c r="M166" s="27">
        <v>1095</v>
      </c>
    </row>
    <row r="167" spans="1:13" ht="18.75" customHeight="1" x14ac:dyDescent="0.3">
      <c r="A167" s="30">
        <v>2208</v>
      </c>
      <c r="B167" s="29"/>
      <c r="C167" s="5" t="s">
        <v>40</v>
      </c>
      <c r="D167" s="7">
        <v>474</v>
      </c>
      <c r="E167" s="31">
        <v>139368</v>
      </c>
      <c r="F167" s="29"/>
      <c r="G167" s="32">
        <v>45871</v>
      </c>
      <c r="H167" s="29"/>
      <c r="I167" s="5" t="s">
        <v>48</v>
      </c>
      <c r="J167" s="5" t="s">
        <v>29</v>
      </c>
      <c r="K167" s="5"/>
      <c r="L167" t="s">
        <v>41</v>
      </c>
      <c r="M167" s="27">
        <v>1096</v>
      </c>
    </row>
    <row r="168" spans="1:13" ht="18.75" customHeight="1" x14ac:dyDescent="0.3">
      <c r="A168" s="30">
        <v>2209</v>
      </c>
      <c r="B168" s="29"/>
      <c r="C168" s="5" t="s">
        <v>40</v>
      </c>
      <c r="D168" s="7">
        <v>403</v>
      </c>
      <c r="E168" s="31">
        <v>138486</v>
      </c>
      <c r="F168" s="29"/>
      <c r="G168" s="32">
        <v>45866</v>
      </c>
      <c r="H168" s="29"/>
      <c r="I168" s="5" t="s">
        <v>50</v>
      </c>
      <c r="J168" s="5" t="s">
        <v>30</v>
      </c>
      <c r="K168" s="5"/>
      <c r="L168" t="s">
        <v>57</v>
      </c>
      <c r="M168" s="27">
        <v>1097</v>
      </c>
    </row>
    <row r="169" spans="1:13" ht="18.75" customHeight="1" x14ac:dyDescent="0.3">
      <c r="A169" s="30">
        <v>2210</v>
      </c>
      <c r="B169" s="29"/>
      <c r="C169" s="5" t="s">
        <v>40</v>
      </c>
      <c r="D169" s="7">
        <v>662</v>
      </c>
      <c r="E169" s="31">
        <v>137735</v>
      </c>
      <c r="F169" s="29"/>
      <c r="G169" s="32">
        <v>45866</v>
      </c>
      <c r="H169" s="29"/>
      <c r="I169" s="5" t="s">
        <v>50</v>
      </c>
      <c r="J169" s="5" t="s">
        <v>30</v>
      </c>
      <c r="K169" s="5"/>
      <c r="L169" t="s">
        <v>56</v>
      </c>
      <c r="M169" s="27">
        <v>1098</v>
      </c>
    </row>
    <row r="170" spans="1:13" ht="18.75" customHeight="1" x14ac:dyDescent="0.3">
      <c r="A170" s="30">
        <v>2211</v>
      </c>
      <c r="B170" s="29"/>
      <c r="C170" s="5" t="s">
        <v>40</v>
      </c>
      <c r="D170" s="7">
        <v>490</v>
      </c>
      <c r="E170" s="31">
        <v>139030</v>
      </c>
      <c r="F170" s="29"/>
      <c r="G170" s="32">
        <v>45866</v>
      </c>
      <c r="H170" s="29"/>
      <c r="I170" s="5" t="s">
        <v>50</v>
      </c>
      <c r="J170" s="5" t="s">
        <v>30</v>
      </c>
      <c r="K170" s="5"/>
      <c r="L170" t="s">
        <v>42</v>
      </c>
      <c r="M170" s="27">
        <v>1099</v>
      </c>
    </row>
    <row r="171" spans="1:13" ht="18.75" customHeight="1" x14ac:dyDescent="0.3">
      <c r="A171" s="30">
        <v>2212</v>
      </c>
      <c r="B171" s="29"/>
      <c r="C171" s="5" t="s">
        <v>40</v>
      </c>
      <c r="D171" s="7">
        <v>370</v>
      </c>
      <c r="E171" s="31">
        <v>138505</v>
      </c>
      <c r="F171" s="29"/>
      <c r="G171" s="32">
        <v>45867</v>
      </c>
      <c r="H171" s="29"/>
      <c r="I171" s="5" t="s">
        <v>50</v>
      </c>
      <c r="J171" s="5" t="s">
        <v>30</v>
      </c>
      <c r="K171" s="5"/>
      <c r="L171" t="s">
        <v>43</v>
      </c>
      <c r="M171" s="27">
        <v>1100</v>
      </c>
    </row>
    <row r="172" spans="1:13" ht="18.75" customHeight="1" x14ac:dyDescent="0.3">
      <c r="A172" s="30">
        <v>2213</v>
      </c>
      <c r="B172" s="29"/>
      <c r="C172" s="5" t="s">
        <v>40</v>
      </c>
      <c r="D172" s="7">
        <v>630</v>
      </c>
      <c r="E172" s="31">
        <v>137742</v>
      </c>
      <c r="F172" s="29"/>
      <c r="G172" s="32">
        <v>45868</v>
      </c>
      <c r="H172" s="29"/>
      <c r="I172" s="5" t="s">
        <v>50</v>
      </c>
      <c r="J172" s="5" t="s">
        <v>30</v>
      </c>
      <c r="K172" s="5"/>
      <c r="L172" t="s">
        <v>56</v>
      </c>
      <c r="M172" s="27">
        <v>1101</v>
      </c>
    </row>
    <row r="173" spans="1:13" ht="18.75" customHeight="1" x14ac:dyDescent="0.3">
      <c r="A173" s="30">
        <v>2214</v>
      </c>
      <c r="B173" s="29"/>
      <c r="C173" s="5" t="s">
        <v>40</v>
      </c>
      <c r="D173" s="7">
        <v>668</v>
      </c>
      <c r="E173" s="31">
        <v>137740</v>
      </c>
      <c r="F173" s="29"/>
      <c r="G173" s="32">
        <v>45868</v>
      </c>
      <c r="H173" s="29"/>
      <c r="I173" s="5" t="s">
        <v>50</v>
      </c>
      <c r="J173" s="5" t="s">
        <v>30</v>
      </c>
      <c r="K173" s="5"/>
      <c r="L173" t="s">
        <v>56</v>
      </c>
      <c r="M173" s="27">
        <v>1102</v>
      </c>
    </row>
    <row r="174" spans="1:13" ht="18.75" customHeight="1" x14ac:dyDescent="0.3">
      <c r="A174" s="30">
        <v>2215</v>
      </c>
      <c r="B174" s="29"/>
      <c r="C174" s="5" t="s">
        <v>40</v>
      </c>
      <c r="D174" s="7">
        <v>300</v>
      </c>
      <c r="E174" s="31">
        <v>138491</v>
      </c>
      <c r="F174" s="29"/>
      <c r="G174" s="32">
        <v>45869</v>
      </c>
      <c r="H174" s="29"/>
      <c r="I174" s="5" t="s">
        <v>50</v>
      </c>
      <c r="J174" s="5" t="s">
        <v>30</v>
      </c>
      <c r="K174" s="5"/>
      <c r="L174" t="s">
        <v>57</v>
      </c>
      <c r="M174" s="27">
        <v>1103</v>
      </c>
    </row>
    <row r="175" spans="1:13" ht="18.75" customHeight="1" x14ac:dyDescent="0.3">
      <c r="A175" s="30">
        <v>2216</v>
      </c>
      <c r="B175" s="29"/>
      <c r="C175" s="5" t="s">
        <v>40</v>
      </c>
      <c r="D175" s="7">
        <v>280</v>
      </c>
      <c r="E175" s="31">
        <v>138508</v>
      </c>
      <c r="F175" s="29"/>
      <c r="G175" s="32">
        <v>45870</v>
      </c>
      <c r="H175" s="29"/>
      <c r="I175" s="5" t="s">
        <v>50</v>
      </c>
      <c r="J175" s="5" t="s">
        <v>30</v>
      </c>
      <c r="K175" s="5"/>
      <c r="L175" t="s">
        <v>43</v>
      </c>
      <c r="M175" s="27">
        <v>1104</v>
      </c>
    </row>
    <row r="176" spans="1:13" ht="18.75" customHeight="1" x14ac:dyDescent="0.3">
      <c r="A176" s="30">
        <v>2217</v>
      </c>
      <c r="B176" s="29"/>
      <c r="C176" s="5" t="s">
        <v>40</v>
      </c>
      <c r="D176" s="7">
        <v>520</v>
      </c>
      <c r="E176" s="31">
        <v>139037</v>
      </c>
      <c r="F176" s="29"/>
      <c r="G176" s="32">
        <v>45871</v>
      </c>
      <c r="H176" s="29"/>
      <c r="I176" s="5" t="s">
        <v>50</v>
      </c>
      <c r="J176" s="5" t="s">
        <v>30</v>
      </c>
      <c r="K176" s="5"/>
      <c r="L176" t="s">
        <v>42</v>
      </c>
      <c r="M176" s="27">
        <v>1105</v>
      </c>
    </row>
    <row r="177" spans="1:13" ht="18.75" customHeight="1" x14ac:dyDescent="0.3">
      <c r="A177" s="30">
        <v>2218</v>
      </c>
      <c r="B177" s="29"/>
      <c r="C177" s="5" t="s">
        <v>14</v>
      </c>
      <c r="D177" s="7">
        <v>303</v>
      </c>
      <c r="E177" s="31">
        <v>29590</v>
      </c>
      <c r="F177" s="29"/>
      <c r="G177" s="32">
        <v>45873</v>
      </c>
      <c r="H177" s="29"/>
      <c r="I177" s="22" t="s">
        <v>19</v>
      </c>
      <c r="J177" s="22" t="s">
        <v>16</v>
      </c>
      <c r="K177" s="22" t="s">
        <v>52</v>
      </c>
      <c r="L177" t="s">
        <v>27</v>
      </c>
    </row>
    <row r="178" spans="1:13" ht="18.75" customHeight="1" x14ac:dyDescent="0.3">
      <c r="A178" s="30">
        <v>2219</v>
      </c>
      <c r="B178" s="29"/>
      <c r="C178" s="5" t="s">
        <v>14</v>
      </c>
      <c r="D178" s="7">
        <v>279</v>
      </c>
      <c r="E178" s="31">
        <v>29602</v>
      </c>
      <c r="F178" s="29"/>
      <c r="G178" s="32">
        <v>45874</v>
      </c>
      <c r="H178" s="29"/>
      <c r="I178" s="22" t="s">
        <v>19</v>
      </c>
      <c r="J178" s="22" t="s">
        <v>16</v>
      </c>
      <c r="K178" s="22" t="s">
        <v>52</v>
      </c>
      <c r="L178" t="s">
        <v>36</v>
      </c>
    </row>
    <row r="179" spans="1:13" ht="18.75" customHeight="1" x14ac:dyDescent="0.3">
      <c r="A179" s="30">
        <v>2220</v>
      </c>
      <c r="B179" s="29"/>
      <c r="C179" s="5" t="s">
        <v>14</v>
      </c>
      <c r="D179" s="7">
        <v>350</v>
      </c>
      <c r="E179" s="31">
        <v>29614</v>
      </c>
      <c r="F179" s="29"/>
      <c r="G179" s="32">
        <v>45875</v>
      </c>
      <c r="H179" s="29"/>
      <c r="I179" s="22" t="s">
        <v>19</v>
      </c>
      <c r="J179" s="22" t="s">
        <v>16</v>
      </c>
      <c r="K179" s="22" t="s">
        <v>52</v>
      </c>
      <c r="L179" t="s">
        <v>26</v>
      </c>
    </row>
    <row r="180" spans="1:13" ht="18.75" customHeight="1" x14ac:dyDescent="0.3">
      <c r="A180" s="30">
        <v>2221</v>
      </c>
      <c r="B180" s="29"/>
      <c r="C180" s="5" t="s">
        <v>14</v>
      </c>
      <c r="D180" s="7">
        <v>185</v>
      </c>
      <c r="E180" s="31">
        <v>29622</v>
      </c>
      <c r="F180" s="29"/>
      <c r="G180" s="32">
        <v>45876</v>
      </c>
      <c r="H180" s="29"/>
      <c r="I180" s="22" t="s">
        <v>19</v>
      </c>
      <c r="J180" s="22" t="s">
        <v>16</v>
      </c>
      <c r="K180" s="22" t="s">
        <v>52</v>
      </c>
      <c r="L180" t="s">
        <v>59</v>
      </c>
    </row>
    <row r="181" spans="1:13" ht="18.75" customHeight="1" x14ac:dyDescent="0.3">
      <c r="A181" s="30">
        <v>2222</v>
      </c>
      <c r="B181" s="29"/>
      <c r="C181" s="5" t="s">
        <v>14</v>
      </c>
      <c r="D181" s="7">
        <v>305</v>
      </c>
      <c r="E181" s="31">
        <v>29633</v>
      </c>
      <c r="F181" s="29"/>
      <c r="G181" s="32">
        <v>45877</v>
      </c>
      <c r="H181" s="29"/>
      <c r="I181" s="22" t="s">
        <v>19</v>
      </c>
      <c r="J181" s="22" t="s">
        <v>16</v>
      </c>
      <c r="K181" s="22" t="s">
        <v>52</v>
      </c>
      <c r="L181" t="s">
        <v>35</v>
      </c>
    </row>
    <row r="182" spans="1:13" ht="18.75" customHeight="1" x14ac:dyDescent="0.3">
      <c r="A182" s="30">
        <v>2223</v>
      </c>
      <c r="B182" s="29"/>
      <c r="C182" s="5" t="s">
        <v>14</v>
      </c>
      <c r="D182" s="7">
        <v>284</v>
      </c>
      <c r="E182" s="31">
        <v>29640</v>
      </c>
      <c r="F182" s="29"/>
      <c r="G182" s="32">
        <v>45878</v>
      </c>
      <c r="H182" s="29"/>
      <c r="I182" s="22" t="s">
        <v>19</v>
      </c>
      <c r="J182" s="22" t="s">
        <v>16</v>
      </c>
      <c r="K182" s="22" t="s">
        <v>52</v>
      </c>
      <c r="L182" t="s">
        <v>59</v>
      </c>
    </row>
    <row r="183" spans="1:13" ht="18.75" customHeight="1" x14ac:dyDescent="0.3">
      <c r="A183" s="30">
        <v>2224</v>
      </c>
      <c r="B183" s="29"/>
      <c r="C183" s="5" t="s">
        <v>14</v>
      </c>
      <c r="D183" s="7">
        <v>294</v>
      </c>
      <c r="E183" s="31">
        <v>29574</v>
      </c>
      <c r="F183" s="29"/>
      <c r="G183" s="32">
        <v>45871</v>
      </c>
      <c r="H183" s="29"/>
      <c r="I183" s="5" t="s">
        <v>54</v>
      </c>
      <c r="J183" s="5" t="s">
        <v>29</v>
      </c>
      <c r="K183" s="5" t="s">
        <v>55</v>
      </c>
      <c r="L183" t="s">
        <v>22</v>
      </c>
    </row>
    <row r="184" spans="1:13" ht="18.75" customHeight="1" x14ac:dyDescent="0.3">
      <c r="A184" s="30">
        <v>2225</v>
      </c>
      <c r="B184" s="29"/>
      <c r="C184" s="5" t="s">
        <v>14</v>
      </c>
      <c r="D184" s="7">
        <v>526</v>
      </c>
      <c r="E184" s="31">
        <v>29591</v>
      </c>
      <c r="F184" s="29"/>
      <c r="G184" s="32">
        <v>45873</v>
      </c>
      <c r="H184" s="29"/>
      <c r="I184" s="5" t="s">
        <v>54</v>
      </c>
      <c r="J184" s="5" t="s">
        <v>29</v>
      </c>
      <c r="K184" s="5" t="s">
        <v>55</v>
      </c>
      <c r="L184" t="s">
        <v>25</v>
      </c>
    </row>
    <row r="185" spans="1:13" ht="18.75" customHeight="1" x14ac:dyDescent="0.3">
      <c r="A185" s="30">
        <v>2226</v>
      </c>
      <c r="B185" s="29"/>
      <c r="C185" s="5" t="s">
        <v>14</v>
      </c>
      <c r="D185" s="7">
        <v>342</v>
      </c>
      <c r="E185" s="31">
        <v>29599</v>
      </c>
      <c r="F185" s="29"/>
      <c r="G185" s="32">
        <v>45874</v>
      </c>
      <c r="H185" s="29"/>
      <c r="I185" s="5" t="s">
        <v>54</v>
      </c>
      <c r="J185" s="5" t="s">
        <v>29</v>
      </c>
      <c r="K185" s="5" t="s">
        <v>55</v>
      </c>
      <c r="L185" t="s">
        <v>24</v>
      </c>
    </row>
    <row r="186" spans="1:13" ht="18.75" customHeight="1" x14ac:dyDescent="0.3">
      <c r="A186" s="30">
        <v>2227</v>
      </c>
      <c r="B186" s="29"/>
      <c r="C186" s="5" t="s">
        <v>14</v>
      </c>
      <c r="D186" s="7">
        <v>446</v>
      </c>
      <c r="E186" s="31">
        <v>29627</v>
      </c>
      <c r="F186" s="29"/>
      <c r="G186" s="32">
        <v>45876</v>
      </c>
      <c r="H186" s="29"/>
      <c r="I186" s="5" t="s">
        <v>54</v>
      </c>
      <c r="J186" s="5" t="s">
        <v>29</v>
      </c>
      <c r="K186" s="5" t="s">
        <v>55</v>
      </c>
      <c r="L186" t="s">
        <v>35</v>
      </c>
    </row>
    <row r="187" spans="1:13" ht="18.75" customHeight="1" x14ac:dyDescent="0.3">
      <c r="A187" s="30">
        <v>2228</v>
      </c>
      <c r="B187" s="29"/>
      <c r="C187" s="5" t="s">
        <v>14</v>
      </c>
      <c r="D187" s="7">
        <v>353</v>
      </c>
      <c r="E187" s="31">
        <v>29646</v>
      </c>
      <c r="F187" s="29"/>
      <c r="G187" s="32">
        <v>45878</v>
      </c>
      <c r="H187" s="29"/>
      <c r="I187" s="5" t="s">
        <v>54</v>
      </c>
      <c r="J187" s="5" t="s">
        <v>29</v>
      </c>
      <c r="K187" s="5" t="s">
        <v>55</v>
      </c>
      <c r="L187" t="s">
        <v>24</v>
      </c>
    </row>
    <row r="188" spans="1:13" ht="18.75" customHeight="1" x14ac:dyDescent="0.3">
      <c r="A188" s="30">
        <v>2229</v>
      </c>
      <c r="B188" s="29"/>
      <c r="C188" s="5" t="s">
        <v>40</v>
      </c>
      <c r="D188" s="7">
        <v>525</v>
      </c>
      <c r="E188" s="31">
        <v>138497</v>
      </c>
      <c r="F188" s="29"/>
      <c r="G188" s="32">
        <v>45872</v>
      </c>
      <c r="H188" s="29"/>
      <c r="I188" s="5" t="s">
        <v>50</v>
      </c>
      <c r="J188" s="5" t="s">
        <v>30</v>
      </c>
      <c r="K188" s="5"/>
      <c r="L188" t="s">
        <v>57</v>
      </c>
      <c r="M188" s="27">
        <v>1106</v>
      </c>
    </row>
    <row r="189" spans="1:13" ht="18.75" customHeight="1" x14ac:dyDescent="0.3">
      <c r="A189" s="30">
        <v>2230</v>
      </c>
      <c r="B189" s="29"/>
      <c r="C189" s="5" t="s">
        <v>40</v>
      </c>
      <c r="D189" s="7">
        <v>450</v>
      </c>
      <c r="E189" s="31">
        <v>137747</v>
      </c>
      <c r="F189" s="29"/>
      <c r="G189" s="32">
        <v>45873</v>
      </c>
      <c r="H189" s="29"/>
      <c r="I189" s="5" t="s">
        <v>50</v>
      </c>
      <c r="J189" s="5" t="s">
        <v>30</v>
      </c>
      <c r="K189" s="5"/>
      <c r="L189" t="s">
        <v>56</v>
      </c>
      <c r="M189" s="27">
        <v>1107</v>
      </c>
    </row>
    <row r="190" spans="1:13" ht="18.75" customHeight="1" x14ac:dyDescent="0.3">
      <c r="A190" s="30">
        <v>2231</v>
      </c>
      <c r="B190" s="29"/>
      <c r="C190" s="5" t="s">
        <v>40</v>
      </c>
      <c r="D190" s="7">
        <v>450</v>
      </c>
      <c r="E190" s="31">
        <v>137749</v>
      </c>
      <c r="F190" s="29"/>
      <c r="G190" s="32">
        <v>45873</v>
      </c>
      <c r="H190" s="29"/>
      <c r="I190" s="5" t="s">
        <v>50</v>
      </c>
      <c r="J190" s="5" t="s">
        <v>30</v>
      </c>
      <c r="K190" s="5"/>
      <c r="L190" t="s">
        <v>56</v>
      </c>
      <c r="M190" s="27">
        <v>1108</v>
      </c>
    </row>
    <row r="191" spans="1:13" ht="18.75" customHeight="1" x14ac:dyDescent="0.3">
      <c r="A191" s="30">
        <v>2232</v>
      </c>
      <c r="B191" s="29"/>
      <c r="C191" s="5" t="s">
        <v>40</v>
      </c>
      <c r="D191" s="7">
        <v>432</v>
      </c>
      <c r="E191" s="31">
        <v>137750</v>
      </c>
      <c r="F191" s="29"/>
      <c r="G191" s="32">
        <v>45874</v>
      </c>
      <c r="H191" s="29"/>
      <c r="I191" s="5" t="s">
        <v>50</v>
      </c>
      <c r="J191" s="5" t="s">
        <v>30</v>
      </c>
      <c r="K191" s="5"/>
      <c r="L191" t="s">
        <v>56</v>
      </c>
      <c r="M191" s="27">
        <v>1109</v>
      </c>
    </row>
    <row r="192" spans="1:13" ht="18.75" customHeight="1" x14ac:dyDescent="0.3">
      <c r="A192" s="30">
        <v>2233</v>
      </c>
      <c r="B192" s="29"/>
      <c r="C192" s="5" t="s">
        <v>40</v>
      </c>
      <c r="D192" s="7">
        <v>432</v>
      </c>
      <c r="E192" s="31">
        <v>139055</v>
      </c>
      <c r="F192" s="29"/>
      <c r="G192" s="32">
        <v>45874</v>
      </c>
      <c r="H192" s="29"/>
      <c r="I192" s="5" t="s">
        <v>50</v>
      </c>
      <c r="J192" s="5" t="s">
        <v>30</v>
      </c>
      <c r="K192" s="5"/>
      <c r="L192" t="s">
        <v>56</v>
      </c>
      <c r="M192" s="27">
        <v>1110</v>
      </c>
    </row>
    <row r="193" spans="1:13" ht="18.75" customHeight="1" x14ac:dyDescent="0.3">
      <c r="A193" s="30">
        <v>2234</v>
      </c>
      <c r="B193" s="29"/>
      <c r="C193" s="5" t="s">
        <v>40</v>
      </c>
      <c r="D193" s="7">
        <v>450</v>
      </c>
      <c r="E193" s="31">
        <v>139056</v>
      </c>
      <c r="F193" s="29"/>
      <c r="G193" s="32">
        <v>45874</v>
      </c>
      <c r="H193" s="29"/>
      <c r="I193" s="5" t="s">
        <v>50</v>
      </c>
      <c r="J193" s="5" t="s">
        <v>30</v>
      </c>
      <c r="K193" s="5"/>
      <c r="L193" t="s">
        <v>56</v>
      </c>
      <c r="M193" s="27">
        <v>1111</v>
      </c>
    </row>
    <row r="194" spans="1:13" ht="18.75" customHeight="1" x14ac:dyDescent="0.3">
      <c r="A194" s="30">
        <v>2235</v>
      </c>
      <c r="B194" s="29"/>
      <c r="C194" s="5" t="s">
        <v>40</v>
      </c>
      <c r="D194" s="7">
        <v>350</v>
      </c>
      <c r="E194" s="31">
        <v>138500</v>
      </c>
      <c r="F194" s="29"/>
      <c r="G194" s="32">
        <v>45875</v>
      </c>
      <c r="H194" s="29"/>
      <c r="I194" s="5" t="s">
        <v>50</v>
      </c>
      <c r="J194" s="5" t="s">
        <v>30</v>
      </c>
      <c r="K194" s="5"/>
      <c r="L194" t="s">
        <v>57</v>
      </c>
      <c r="M194" s="27">
        <v>1112</v>
      </c>
    </row>
    <row r="195" spans="1:13" ht="18.75" customHeight="1" x14ac:dyDescent="0.3">
      <c r="A195" s="30">
        <v>2236</v>
      </c>
      <c r="B195" s="29"/>
      <c r="C195" s="5" t="s">
        <v>40</v>
      </c>
      <c r="D195" s="7">
        <v>700</v>
      </c>
      <c r="E195" s="31">
        <v>139044</v>
      </c>
      <c r="F195" s="29"/>
      <c r="G195" s="32">
        <v>45877</v>
      </c>
      <c r="H195" s="29"/>
      <c r="I195" s="5" t="s">
        <v>50</v>
      </c>
      <c r="J195" s="5" t="s">
        <v>30</v>
      </c>
      <c r="K195" s="5"/>
      <c r="L195" t="s">
        <v>42</v>
      </c>
      <c r="M195" s="27">
        <v>1113</v>
      </c>
    </row>
    <row r="196" spans="1:13" ht="18.75" customHeight="1" x14ac:dyDescent="0.3">
      <c r="A196" s="30">
        <v>2237</v>
      </c>
      <c r="B196" s="29"/>
      <c r="C196" s="5" t="s">
        <v>40</v>
      </c>
      <c r="D196" s="7">
        <v>580</v>
      </c>
      <c r="E196" s="31">
        <v>139043</v>
      </c>
      <c r="F196" s="29"/>
      <c r="G196" s="32">
        <v>45877</v>
      </c>
      <c r="H196" s="29"/>
      <c r="I196" s="5" t="s">
        <v>50</v>
      </c>
      <c r="J196" s="5" t="s">
        <v>30</v>
      </c>
      <c r="K196" s="5"/>
      <c r="L196" t="s">
        <v>42</v>
      </c>
      <c r="M196" s="27">
        <v>1114</v>
      </c>
    </row>
    <row r="197" spans="1:13" ht="18.75" customHeight="1" x14ac:dyDescent="0.3">
      <c r="A197" s="30">
        <v>2238</v>
      </c>
      <c r="B197" s="29"/>
      <c r="C197" s="5" t="s">
        <v>40</v>
      </c>
      <c r="D197" s="7">
        <v>700</v>
      </c>
      <c r="E197" s="31">
        <v>139045</v>
      </c>
      <c r="F197" s="29"/>
      <c r="G197" s="32">
        <v>45878</v>
      </c>
      <c r="H197" s="29"/>
      <c r="I197" s="5" t="s">
        <v>50</v>
      </c>
      <c r="J197" s="5" t="s">
        <v>30</v>
      </c>
      <c r="K197" s="5"/>
      <c r="L197" t="s">
        <v>42</v>
      </c>
      <c r="M197" s="27">
        <v>1115</v>
      </c>
    </row>
    <row r="198" spans="1:13" ht="18.75" customHeight="1" x14ac:dyDescent="0.3">
      <c r="A198" s="30">
        <v>2239</v>
      </c>
      <c r="B198" s="29"/>
      <c r="C198" s="5" t="s">
        <v>40</v>
      </c>
      <c r="D198" s="7">
        <v>525</v>
      </c>
      <c r="E198" s="31">
        <v>138498</v>
      </c>
      <c r="F198" s="29"/>
      <c r="G198" s="32">
        <v>45872</v>
      </c>
      <c r="H198" s="29"/>
      <c r="I198" s="5" t="s">
        <v>48</v>
      </c>
      <c r="J198" s="5" t="s">
        <v>29</v>
      </c>
      <c r="K198" s="5"/>
      <c r="L198" t="s">
        <v>57</v>
      </c>
      <c r="M198" s="27">
        <v>1116</v>
      </c>
    </row>
    <row r="199" spans="1:13" ht="18.75" customHeight="1" x14ac:dyDescent="0.3">
      <c r="A199" s="30">
        <v>2240</v>
      </c>
      <c r="B199" s="29"/>
      <c r="C199" s="5" t="s">
        <v>40</v>
      </c>
      <c r="D199" s="7">
        <v>410</v>
      </c>
      <c r="E199" s="31">
        <v>135801</v>
      </c>
      <c r="F199" s="29"/>
      <c r="G199" s="32">
        <v>45875</v>
      </c>
      <c r="H199" s="29"/>
      <c r="I199" s="5" t="s">
        <v>48</v>
      </c>
      <c r="J199" s="5" t="s">
        <v>29</v>
      </c>
      <c r="K199" s="5"/>
      <c r="L199" t="s">
        <v>57</v>
      </c>
      <c r="M199" s="27">
        <v>1117</v>
      </c>
    </row>
    <row r="200" spans="1:13" ht="18.75" customHeight="1" x14ac:dyDescent="0.3">
      <c r="A200" s="30">
        <v>2241</v>
      </c>
      <c r="B200" s="29"/>
      <c r="C200" s="5" t="s">
        <v>40</v>
      </c>
      <c r="D200" s="7">
        <v>525</v>
      </c>
      <c r="E200" s="31">
        <v>139042</v>
      </c>
      <c r="F200" s="29"/>
      <c r="G200" s="32">
        <v>45876</v>
      </c>
      <c r="H200" s="29"/>
      <c r="I200" s="5" t="s">
        <v>48</v>
      </c>
      <c r="J200" s="5" t="s">
        <v>29</v>
      </c>
      <c r="K200" s="5"/>
      <c r="L200" t="s">
        <v>42</v>
      </c>
      <c r="M200" s="27">
        <v>1118</v>
      </c>
    </row>
    <row r="201" spans="1:13" ht="18.75" customHeight="1" x14ac:dyDescent="0.3">
      <c r="A201" s="30">
        <v>2242</v>
      </c>
      <c r="B201" s="29"/>
      <c r="C201" s="5" t="s">
        <v>40</v>
      </c>
      <c r="D201" s="7">
        <v>522</v>
      </c>
      <c r="E201" s="31">
        <v>135803</v>
      </c>
      <c r="F201" s="29"/>
      <c r="G201" s="32">
        <v>45877</v>
      </c>
      <c r="H201" s="29"/>
      <c r="I201" s="5" t="s">
        <v>48</v>
      </c>
      <c r="J201" s="5" t="s">
        <v>29</v>
      </c>
      <c r="K201" s="5"/>
      <c r="L201" t="s">
        <v>57</v>
      </c>
      <c r="M201" s="27">
        <v>1119</v>
      </c>
    </row>
    <row r="202" spans="1:13" ht="18.75" customHeight="1" x14ac:dyDescent="0.3">
      <c r="A202" s="30">
        <v>2243</v>
      </c>
      <c r="B202" s="29"/>
      <c r="C202" s="5" t="s">
        <v>14</v>
      </c>
      <c r="D202" s="7">
        <v>320</v>
      </c>
      <c r="E202" s="31">
        <v>29661</v>
      </c>
      <c r="F202" s="29"/>
      <c r="G202" s="32">
        <v>45880</v>
      </c>
      <c r="H202" s="29"/>
      <c r="I202" s="22" t="s">
        <v>19</v>
      </c>
      <c r="J202" s="22" t="s">
        <v>16</v>
      </c>
      <c r="K202" s="22" t="s">
        <v>52</v>
      </c>
      <c r="L202" t="s">
        <v>38</v>
      </c>
    </row>
    <row r="203" spans="1:13" ht="18.75" customHeight="1" x14ac:dyDescent="0.3">
      <c r="A203" s="30">
        <v>2244</v>
      </c>
      <c r="B203" s="29"/>
      <c r="C203" s="5" t="s">
        <v>14</v>
      </c>
      <c r="D203" s="7">
        <v>332</v>
      </c>
      <c r="E203" s="31">
        <v>29675</v>
      </c>
      <c r="F203" s="29"/>
      <c r="G203" s="32">
        <v>45881</v>
      </c>
      <c r="H203" s="29"/>
      <c r="I203" s="22" t="s">
        <v>19</v>
      </c>
      <c r="J203" s="22" t="s">
        <v>16</v>
      </c>
      <c r="K203" s="22" t="s">
        <v>52</v>
      </c>
      <c r="L203" t="s">
        <v>26</v>
      </c>
    </row>
    <row r="204" spans="1:13" ht="18.75" customHeight="1" x14ac:dyDescent="0.3">
      <c r="A204" s="30">
        <v>2245</v>
      </c>
      <c r="B204" s="29"/>
      <c r="C204" s="5" t="s">
        <v>14</v>
      </c>
      <c r="D204" s="7">
        <v>292</v>
      </c>
      <c r="E204" s="31">
        <v>29684</v>
      </c>
      <c r="F204" s="29"/>
      <c r="G204" s="32">
        <v>45882</v>
      </c>
      <c r="H204" s="29"/>
      <c r="I204" s="22" t="s">
        <v>19</v>
      </c>
      <c r="J204" s="22" t="s">
        <v>16</v>
      </c>
      <c r="K204" s="22" t="s">
        <v>52</v>
      </c>
      <c r="L204" t="s">
        <v>39</v>
      </c>
    </row>
    <row r="205" spans="1:13" ht="18.75" customHeight="1" x14ac:dyDescent="0.3">
      <c r="A205" s="30">
        <v>2246</v>
      </c>
      <c r="B205" s="29"/>
      <c r="C205" s="5" t="s">
        <v>14</v>
      </c>
      <c r="D205" s="7">
        <v>251</v>
      </c>
      <c r="E205" s="31">
        <v>29694</v>
      </c>
      <c r="F205" s="29"/>
      <c r="G205" s="32">
        <v>45883</v>
      </c>
      <c r="H205" s="29"/>
      <c r="I205" s="22" t="s">
        <v>19</v>
      </c>
      <c r="J205" s="22" t="s">
        <v>16</v>
      </c>
      <c r="K205" s="22" t="s">
        <v>52</v>
      </c>
      <c r="L205" t="s">
        <v>22</v>
      </c>
    </row>
    <row r="206" spans="1:13" ht="18.75" customHeight="1" x14ac:dyDescent="0.3">
      <c r="A206" s="30">
        <v>2247</v>
      </c>
      <c r="B206" s="29"/>
      <c r="C206" s="5" t="s">
        <v>14</v>
      </c>
      <c r="D206" s="7">
        <v>483</v>
      </c>
      <c r="E206" s="31">
        <v>29658</v>
      </c>
      <c r="F206" s="29"/>
      <c r="G206" s="32">
        <v>45880</v>
      </c>
      <c r="H206" s="29"/>
      <c r="I206" s="5" t="s">
        <v>54</v>
      </c>
      <c r="J206" s="5" t="s">
        <v>29</v>
      </c>
      <c r="K206" s="5" t="s">
        <v>55</v>
      </c>
      <c r="L206" t="s">
        <v>25</v>
      </c>
    </row>
    <row r="207" spans="1:13" ht="18.75" customHeight="1" x14ac:dyDescent="0.3">
      <c r="A207" s="30">
        <v>2248</v>
      </c>
      <c r="B207" s="29"/>
      <c r="C207" s="5" t="s">
        <v>14</v>
      </c>
      <c r="D207" s="7">
        <v>404</v>
      </c>
      <c r="E207" s="31">
        <v>29669</v>
      </c>
      <c r="F207" s="29"/>
      <c r="G207" s="32">
        <v>45881</v>
      </c>
      <c r="H207" s="29"/>
      <c r="I207" s="5" t="s">
        <v>54</v>
      </c>
      <c r="J207" s="5" t="s">
        <v>29</v>
      </c>
      <c r="K207" s="5" t="s">
        <v>55</v>
      </c>
      <c r="L207" t="s">
        <v>24</v>
      </c>
    </row>
    <row r="208" spans="1:13" ht="18.75" customHeight="1" x14ac:dyDescent="0.3">
      <c r="A208" s="30">
        <v>2249</v>
      </c>
      <c r="B208" s="29"/>
      <c r="C208" s="5" t="s">
        <v>14</v>
      </c>
      <c r="D208" s="7">
        <v>550</v>
      </c>
      <c r="E208" s="31">
        <v>29679</v>
      </c>
      <c r="F208" s="29"/>
      <c r="G208" s="32">
        <v>45882</v>
      </c>
      <c r="H208" s="29"/>
      <c r="I208" s="5" t="s">
        <v>54</v>
      </c>
      <c r="J208" s="5" t="s">
        <v>29</v>
      </c>
      <c r="K208" s="5" t="s">
        <v>55</v>
      </c>
      <c r="L208" t="s">
        <v>47</v>
      </c>
    </row>
    <row r="209" spans="1:13" ht="18.75" customHeight="1" x14ac:dyDescent="0.3">
      <c r="A209" s="30">
        <v>2250</v>
      </c>
      <c r="B209" s="29"/>
      <c r="C209" s="5" t="s">
        <v>14</v>
      </c>
      <c r="D209" s="7">
        <v>328</v>
      </c>
      <c r="E209" s="31">
        <v>29692</v>
      </c>
      <c r="F209" s="29"/>
      <c r="G209" s="32">
        <v>45883</v>
      </c>
      <c r="H209" s="29"/>
      <c r="I209" s="5" t="s">
        <v>54</v>
      </c>
      <c r="J209" s="5" t="s">
        <v>29</v>
      </c>
      <c r="K209" s="5" t="s">
        <v>55</v>
      </c>
      <c r="L209" t="s">
        <v>24</v>
      </c>
    </row>
    <row r="210" spans="1:13" ht="18.75" customHeight="1" x14ac:dyDescent="0.3">
      <c r="A210" s="30">
        <v>2251</v>
      </c>
      <c r="B210" s="29"/>
      <c r="C210" s="5" t="s">
        <v>14</v>
      </c>
      <c r="D210" s="7">
        <v>423</v>
      </c>
      <c r="E210" s="31">
        <v>29716</v>
      </c>
      <c r="F210" s="29"/>
      <c r="G210" s="32">
        <v>45885</v>
      </c>
      <c r="H210" s="29"/>
      <c r="I210" s="5" t="s">
        <v>54</v>
      </c>
      <c r="J210" s="5" t="s">
        <v>29</v>
      </c>
      <c r="K210" s="5" t="s">
        <v>55</v>
      </c>
      <c r="L210" t="s">
        <v>22</v>
      </c>
    </row>
    <row r="211" spans="1:13" ht="18.75" customHeight="1" x14ac:dyDescent="0.3">
      <c r="A211" s="30">
        <v>2252</v>
      </c>
      <c r="B211" s="29"/>
      <c r="C211" s="5" t="s">
        <v>40</v>
      </c>
      <c r="D211" s="7">
        <v>350</v>
      </c>
      <c r="E211" s="31">
        <v>135806</v>
      </c>
      <c r="F211" s="29"/>
      <c r="G211" s="32">
        <v>45879</v>
      </c>
      <c r="H211" s="29"/>
      <c r="I211" s="5" t="s">
        <v>50</v>
      </c>
      <c r="J211" s="5" t="s">
        <v>30</v>
      </c>
      <c r="K211" s="5"/>
      <c r="L211" t="s">
        <v>57</v>
      </c>
      <c r="M211" s="27">
        <v>1120</v>
      </c>
    </row>
    <row r="212" spans="1:13" ht="18.75" customHeight="1" x14ac:dyDescent="0.3">
      <c r="A212" s="30">
        <v>2253</v>
      </c>
      <c r="B212" s="29"/>
      <c r="C212" s="5" t="s">
        <v>40</v>
      </c>
      <c r="D212" s="7">
        <v>400</v>
      </c>
      <c r="E212" s="31">
        <v>139385</v>
      </c>
      <c r="F212" s="29"/>
      <c r="G212" s="32">
        <v>45880</v>
      </c>
      <c r="H212" s="29"/>
      <c r="I212" s="5" t="s">
        <v>50</v>
      </c>
      <c r="J212" s="5" t="s">
        <v>30</v>
      </c>
      <c r="K212" s="5"/>
      <c r="L212" t="s">
        <v>41</v>
      </c>
      <c r="M212" s="27">
        <v>1121</v>
      </c>
    </row>
    <row r="213" spans="1:13" ht="18.75" customHeight="1" x14ac:dyDescent="0.3">
      <c r="A213" s="30">
        <v>2254</v>
      </c>
      <c r="B213" s="29"/>
      <c r="C213" s="5" t="s">
        <v>40</v>
      </c>
      <c r="D213" s="7">
        <v>336</v>
      </c>
      <c r="E213" s="31">
        <v>139388</v>
      </c>
      <c r="F213" s="29"/>
      <c r="G213" s="32">
        <v>45881</v>
      </c>
      <c r="H213" s="29"/>
      <c r="I213" s="5" t="s">
        <v>50</v>
      </c>
      <c r="J213" s="5" t="s">
        <v>30</v>
      </c>
      <c r="K213" s="5"/>
      <c r="L213" t="s">
        <v>41</v>
      </c>
      <c r="M213" s="27">
        <v>1122</v>
      </c>
    </row>
    <row r="214" spans="1:13" ht="18.75" customHeight="1" x14ac:dyDescent="0.3">
      <c r="A214" s="30">
        <v>2255</v>
      </c>
      <c r="B214" s="29"/>
      <c r="C214" s="5" t="s">
        <v>40</v>
      </c>
      <c r="D214" s="7">
        <v>252</v>
      </c>
      <c r="E214" s="31">
        <v>139391</v>
      </c>
      <c r="F214" s="29"/>
      <c r="G214" s="32">
        <v>45882</v>
      </c>
      <c r="H214" s="29"/>
      <c r="I214" s="5" t="s">
        <v>50</v>
      </c>
      <c r="J214" s="5" t="s">
        <v>30</v>
      </c>
      <c r="K214" s="5"/>
      <c r="L214" t="s">
        <v>41</v>
      </c>
      <c r="M214" s="27">
        <v>1123</v>
      </c>
    </row>
    <row r="215" spans="1:13" ht="18.75" customHeight="1" x14ac:dyDescent="0.3">
      <c r="A215" s="30">
        <v>2256</v>
      </c>
      <c r="B215" s="29"/>
      <c r="C215" s="5" t="s">
        <v>40</v>
      </c>
      <c r="D215" s="7">
        <v>252</v>
      </c>
      <c r="E215" s="31">
        <v>139393</v>
      </c>
      <c r="F215" s="29"/>
      <c r="G215" s="32">
        <v>45883</v>
      </c>
      <c r="H215" s="29"/>
      <c r="I215" s="5" t="s">
        <v>50</v>
      </c>
      <c r="J215" s="5" t="s">
        <v>30</v>
      </c>
      <c r="K215" s="5"/>
      <c r="L215" t="s">
        <v>41</v>
      </c>
      <c r="M215" s="27">
        <v>1124</v>
      </c>
    </row>
    <row r="216" spans="1:13" ht="18.75" customHeight="1" x14ac:dyDescent="0.3">
      <c r="A216" s="30">
        <v>2257</v>
      </c>
      <c r="B216" s="29"/>
      <c r="C216" s="5" t="s">
        <v>40</v>
      </c>
      <c r="D216" s="7">
        <v>518</v>
      </c>
      <c r="E216" s="31">
        <v>139702</v>
      </c>
      <c r="F216" s="29"/>
      <c r="G216" s="32">
        <v>45883</v>
      </c>
      <c r="H216" s="29"/>
      <c r="I216" s="5" t="s">
        <v>50</v>
      </c>
      <c r="J216" s="5" t="s">
        <v>30</v>
      </c>
      <c r="K216" s="5"/>
      <c r="L216" t="s">
        <v>42</v>
      </c>
      <c r="M216" s="27">
        <v>1125</v>
      </c>
    </row>
    <row r="217" spans="1:13" ht="18.75" customHeight="1" x14ac:dyDescent="0.3">
      <c r="A217" s="30">
        <v>2258</v>
      </c>
      <c r="B217" s="29"/>
      <c r="C217" s="5" t="s">
        <v>40</v>
      </c>
      <c r="D217" s="7">
        <v>378</v>
      </c>
      <c r="E217" s="31">
        <v>135816</v>
      </c>
      <c r="F217" s="29"/>
      <c r="G217" s="32">
        <v>45884</v>
      </c>
      <c r="H217" s="29"/>
      <c r="I217" s="5" t="s">
        <v>50</v>
      </c>
      <c r="J217" s="5" t="s">
        <v>30</v>
      </c>
      <c r="K217" s="5"/>
      <c r="L217" t="s">
        <v>57</v>
      </c>
      <c r="M217" s="27">
        <v>1126</v>
      </c>
    </row>
    <row r="218" spans="1:13" ht="18.75" customHeight="1" x14ac:dyDescent="0.3">
      <c r="A218" s="30">
        <v>2259</v>
      </c>
      <c r="B218" s="29"/>
      <c r="C218" s="5" t="s">
        <v>40</v>
      </c>
      <c r="D218" s="7">
        <v>365</v>
      </c>
      <c r="E218" s="31">
        <v>139399</v>
      </c>
      <c r="F218" s="29"/>
      <c r="G218" s="32">
        <v>45885</v>
      </c>
      <c r="H218" s="29"/>
      <c r="I218" s="5" t="s">
        <v>50</v>
      </c>
      <c r="J218" s="5" t="s">
        <v>30</v>
      </c>
      <c r="K218" s="5"/>
      <c r="L218" t="s">
        <v>41</v>
      </c>
      <c r="M218" s="27">
        <v>1127</v>
      </c>
    </row>
    <row r="219" spans="1:13" ht="18.75" customHeight="1" x14ac:dyDescent="0.3">
      <c r="A219" s="30">
        <v>2260</v>
      </c>
      <c r="B219" s="29"/>
      <c r="C219" s="5" t="s">
        <v>40</v>
      </c>
      <c r="D219" s="7">
        <v>280</v>
      </c>
      <c r="E219" s="31">
        <v>139400</v>
      </c>
      <c r="F219" s="29"/>
      <c r="G219" s="32">
        <v>45885</v>
      </c>
      <c r="H219" s="29"/>
      <c r="I219" s="5" t="s">
        <v>50</v>
      </c>
      <c r="J219" s="5" t="s">
        <v>30</v>
      </c>
      <c r="K219" s="5"/>
      <c r="L219" t="s">
        <v>41</v>
      </c>
      <c r="M219" s="27">
        <v>1128</v>
      </c>
    </row>
    <row r="220" spans="1:13" ht="18.75" customHeight="1" x14ac:dyDescent="0.3">
      <c r="A220" s="30">
        <v>2261</v>
      </c>
      <c r="B220" s="29"/>
      <c r="C220" s="5" t="s">
        <v>40</v>
      </c>
      <c r="D220" s="7">
        <v>630</v>
      </c>
      <c r="E220" s="31">
        <v>135810</v>
      </c>
      <c r="F220" s="29"/>
      <c r="G220" s="32">
        <v>45879</v>
      </c>
      <c r="H220" s="29"/>
      <c r="I220" s="5" t="s">
        <v>48</v>
      </c>
      <c r="J220" s="5" t="s">
        <v>29</v>
      </c>
      <c r="K220" s="5"/>
      <c r="L220" t="s">
        <v>57</v>
      </c>
      <c r="M220" s="27">
        <v>1129</v>
      </c>
    </row>
    <row r="221" spans="1:13" ht="18.75" customHeight="1" x14ac:dyDescent="0.3">
      <c r="A221" s="30">
        <v>2262</v>
      </c>
      <c r="B221" s="29"/>
      <c r="C221" s="5" t="s">
        <v>40</v>
      </c>
      <c r="D221" s="7">
        <v>455</v>
      </c>
      <c r="E221" s="31">
        <v>135808</v>
      </c>
      <c r="F221" s="29"/>
      <c r="G221" s="32">
        <v>45879</v>
      </c>
      <c r="H221" s="29"/>
      <c r="I221" s="5" t="s">
        <v>48</v>
      </c>
      <c r="J221" s="5" t="s">
        <v>29</v>
      </c>
      <c r="K221" s="5"/>
      <c r="L221" t="s">
        <v>57</v>
      </c>
      <c r="M221" s="27">
        <v>1130</v>
      </c>
    </row>
    <row r="222" spans="1:13" ht="18.75" customHeight="1" x14ac:dyDescent="0.3">
      <c r="A222" s="30">
        <v>2263</v>
      </c>
      <c r="B222" s="29"/>
      <c r="C222" s="5" t="s">
        <v>40</v>
      </c>
      <c r="D222" s="7">
        <v>490</v>
      </c>
      <c r="E222" s="31">
        <v>139047</v>
      </c>
      <c r="F222" s="29"/>
      <c r="G222" s="32">
        <v>45880</v>
      </c>
      <c r="H222" s="29"/>
      <c r="I222" s="5" t="s">
        <v>48</v>
      </c>
      <c r="J222" s="5" t="s">
        <v>29</v>
      </c>
      <c r="K222" s="5"/>
      <c r="L222" t="s">
        <v>42</v>
      </c>
      <c r="M222" s="27">
        <v>1131</v>
      </c>
    </row>
    <row r="223" spans="1:13" ht="18.75" customHeight="1" x14ac:dyDescent="0.3">
      <c r="A223" s="30">
        <v>2264</v>
      </c>
      <c r="B223" s="29"/>
      <c r="C223" s="5" t="s">
        <v>40</v>
      </c>
      <c r="D223" s="7">
        <v>518</v>
      </c>
      <c r="E223" s="31">
        <v>139048</v>
      </c>
      <c r="F223" s="29"/>
      <c r="G223" s="32">
        <v>45881</v>
      </c>
      <c r="H223" s="29"/>
      <c r="I223" s="5" t="s">
        <v>48</v>
      </c>
      <c r="J223" s="5" t="s">
        <v>29</v>
      </c>
      <c r="K223" s="5"/>
      <c r="L223" t="s">
        <v>42</v>
      </c>
      <c r="M223" s="27">
        <v>1132</v>
      </c>
    </row>
    <row r="224" spans="1:13" ht="18.75" customHeight="1" x14ac:dyDescent="0.3">
      <c r="A224" s="30">
        <v>2265</v>
      </c>
      <c r="B224" s="29"/>
      <c r="C224" s="5" t="s">
        <v>40</v>
      </c>
      <c r="D224" s="7">
        <v>414</v>
      </c>
      <c r="E224" s="31">
        <v>139057</v>
      </c>
      <c r="F224" s="29"/>
      <c r="G224" s="32">
        <v>45882</v>
      </c>
      <c r="H224" s="29"/>
      <c r="I224" s="5" t="s">
        <v>48</v>
      </c>
      <c r="J224" s="5" t="s">
        <v>29</v>
      </c>
      <c r="K224" s="5"/>
      <c r="L224" t="s">
        <v>56</v>
      </c>
      <c r="M224" s="27">
        <v>1133</v>
      </c>
    </row>
    <row r="225" spans="1:13" ht="18.75" customHeight="1" x14ac:dyDescent="0.3">
      <c r="A225" s="30">
        <v>2266</v>
      </c>
      <c r="B225" s="29"/>
      <c r="C225" s="5" t="s">
        <v>40</v>
      </c>
      <c r="D225" s="7">
        <v>256</v>
      </c>
      <c r="E225" s="31">
        <v>139396</v>
      </c>
      <c r="F225" s="29"/>
      <c r="G225" s="32">
        <v>45884</v>
      </c>
      <c r="H225" s="29"/>
      <c r="I225" s="5" t="s">
        <v>48</v>
      </c>
      <c r="J225" s="5" t="s">
        <v>29</v>
      </c>
      <c r="K225" s="5"/>
      <c r="L225" t="s">
        <v>41</v>
      </c>
      <c r="M225" s="27">
        <v>1134</v>
      </c>
    </row>
    <row r="226" spans="1:13" ht="18.75" customHeight="1" x14ac:dyDescent="0.3">
      <c r="A226" s="30">
        <v>2267</v>
      </c>
      <c r="B226" s="29"/>
      <c r="C226" s="5" t="s">
        <v>40</v>
      </c>
      <c r="D226" s="7">
        <v>392</v>
      </c>
      <c r="E226" s="31">
        <v>142106</v>
      </c>
      <c r="F226" s="29"/>
      <c r="G226" s="32">
        <v>45885</v>
      </c>
      <c r="H226" s="29"/>
      <c r="I226" s="5" t="s">
        <v>48</v>
      </c>
      <c r="J226" s="5" t="s">
        <v>29</v>
      </c>
      <c r="K226" s="5"/>
      <c r="L226" t="s">
        <v>43</v>
      </c>
      <c r="M226" s="27">
        <v>1135</v>
      </c>
    </row>
    <row r="227" spans="1:13" ht="18.75" customHeight="1" x14ac:dyDescent="0.3">
      <c r="A227" s="30">
        <v>2268</v>
      </c>
      <c r="B227" s="29"/>
      <c r="C227" s="5" t="s">
        <v>40</v>
      </c>
      <c r="D227" s="7">
        <v>351</v>
      </c>
      <c r="E227" s="31">
        <v>135817</v>
      </c>
      <c r="F227" s="29"/>
      <c r="G227" s="32">
        <v>45885</v>
      </c>
      <c r="H227" s="29"/>
      <c r="I227" s="5" t="s">
        <v>48</v>
      </c>
      <c r="J227" s="5" t="s">
        <v>29</v>
      </c>
      <c r="K227" s="5"/>
      <c r="L227" t="s">
        <v>57</v>
      </c>
      <c r="M227" s="27">
        <v>1136</v>
      </c>
    </row>
    <row r="228" spans="1:13" ht="18.75" customHeight="1" x14ac:dyDescent="0.3">
      <c r="A228" s="30">
        <v>2269</v>
      </c>
      <c r="B228" s="29"/>
      <c r="C228" s="5" t="s">
        <v>14</v>
      </c>
      <c r="D228" s="7">
        <v>283</v>
      </c>
      <c r="E228" s="31">
        <v>29703</v>
      </c>
      <c r="F228" s="29"/>
      <c r="G228" s="32">
        <v>45884</v>
      </c>
      <c r="H228" s="29"/>
      <c r="I228" s="22" t="s">
        <v>19</v>
      </c>
      <c r="J228" s="22" t="s">
        <v>16</v>
      </c>
      <c r="K228" s="22" t="s">
        <v>52</v>
      </c>
      <c r="L228" t="s">
        <v>27</v>
      </c>
    </row>
    <row r="229" spans="1:13" ht="18.75" customHeight="1" x14ac:dyDescent="0.3">
      <c r="A229" s="30">
        <v>2270</v>
      </c>
      <c r="B229" s="29"/>
      <c r="C229" s="5" t="s">
        <v>14</v>
      </c>
      <c r="D229" s="7">
        <v>326</v>
      </c>
      <c r="E229" s="31">
        <v>29715</v>
      </c>
      <c r="F229" s="29"/>
      <c r="G229" s="32">
        <v>45885</v>
      </c>
      <c r="H229" s="29"/>
      <c r="I229" s="22" t="s">
        <v>19</v>
      </c>
      <c r="J229" s="22" t="s">
        <v>16</v>
      </c>
      <c r="K229" s="22" t="s">
        <v>52</v>
      </c>
      <c r="L229" t="s">
        <v>27</v>
      </c>
    </row>
    <row r="230" spans="1:13" ht="18.75" customHeight="1" x14ac:dyDescent="0.3">
      <c r="A230" s="30">
        <v>2271</v>
      </c>
      <c r="B230" s="29"/>
      <c r="C230" s="5" t="s">
        <v>14</v>
      </c>
      <c r="D230" s="7">
        <v>305</v>
      </c>
      <c r="E230" s="31">
        <v>29833</v>
      </c>
      <c r="F230" s="29"/>
      <c r="G230" s="32">
        <v>45887</v>
      </c>
      <c r="H230" s="29"/>
      <c r="I230" s="5" t="s">
        <v>54</v>
      </c>
      <c r="J230" s="5" t="s">
        <v>29</v>
      </c>
      <c r="K230" s="5" t="s">
        <v>55</v>
      </c>
      <c r="L230" t="s">
        <v>25</v>
      </c>
    </row>
    <row r="231" spans="1:13" ht="18.75" customHeight="1" x14ac:dyDescent="0.3">
      <c r="A231" s="30">
        <v>2272</v>
      </c>
      <c r="B231" s="29"/>
      <c r="C231" s="5" t="s">
        <v>14</v>
      </c>
      <c r="D231" s="7">
        <v>351</v>
      </c>
      <c r="E231" s="31">
        <v>29743</v>
      </c>
      <c r="F231" s="29"/>
      <c r="G231" s="32">
        <v>45888</v>
      </c>
      <c r="H231" s="29"/>
      <c r="I231" s="5" t="s">
        <v>54</v>
      </c>
      <c r="J231" s="5" t="s">
        <v>29</v>
      </c>
      <c r="K231" s="5" t="s">
        <v>55</v>
      </c>
      <c r="L231" t="s">
        <v>22</v>
      </c>
    </row>
    <row r="232" spans="1:13" ht="18.75" customHeight="1" x14ac:dyDescent="0.3">
      <c r="A232" s="30">
        <v>2273</v>
      </c>
      <c r="B232" s="29"/>
      <c r="C232" s="5" t="s">
        <v>14</v>
      </c>
      <c r="D232" s="7">
        <v>612</v>
      </c>
      <c r="E232" s="31">
        <v>29808</v>
      </c>
      <c r="F232" s="29"/>
      <c r="G232" s="32">
        <v>45889</v>
      </c>
      <c r="H232" s="29"/>
      <c r="I232" s="5" t="s">
        <v>54</v>
      </c>
      <c r="J232" s="5" t="s">
        <v>29</v>
      </c>
      <c r="K232" s="5" t="s">
        <v>55</v>
      </c>
      <c r="L232" t="s">
        <v>25</v>
      </c>
    </row>
    <row r="233" spans="1:13" ht="18.75" customHeight="1" x14ac:dyDescent="0.3">
      <c r="A233" s="30">
        <v>2274</v>
      </c>
      <c r="B233" s="29"/>
      <c r="C233" s="5" t="s">
        <v>14</v>
      </c>
      <c r="D233" s="7">
        <v>328</v>
      </c>
      <c r="E233" s="31">
        <v>29817</v>
      </c>
      <c r="F233" s="29"/>
      <c r="G233" s="32">
        <v>45890</v>
      </c>
      <c r="H233" s="29"/>
      <c r="I233" s="5" t="s">
        <v>54</v>
      </c>
      <c r="J233" s="5" t="s">
        <v>29</v>
      </c>
      <c r="K233" s="5" t="s">
        <v>55</v>
      </c>
      <c r="L233" t="s">
        <v>36</v>
      </c>
    </row>
    <row r="234" spans="1:13" ht="18.75" customHeight="1" x14ac:dyDescent="0.3">
      <c r="A234" s="30">
        <v>2275</v>
      </c>
      <c r="B234" s="29"/>
      <c r="C234" s="5" t="s">
        <v>14</v>
      </c>
      <c r="D234" s="7">
        <v>288</v>
      </c>
      <c r="E234" s="31">
        <v>29729</v>
      </c>
      <c r="F234" s="29"/>
      <c r="G234" s="32">
        <v>45887</v>
      </c>
      <c r="H234" s="29"/>
      <c r="I234" s="5" t="s">
        <v>54</v>
      </c>
      <c r="J234" s="5" t="s">
        <v>29</v>
      </c>
      <c r="K234" s="5" t="s">
        <v>55</v>
      </c>
      <c r="L234" t="s">
        <v>58</v>
      </c>
    </row>
    <row r="235" spans="1:13" ht="18.75" customHeight="1" x14ac:dyDescent="0.3">
      <c r="A235" s="30">
        <v>2276</v>
      </c>
      <c r="B235" s="29"/>
      <c r="C235" s="5" t="s">
        <v>14</v>
      </c>
      <c r="D235" s="7">
        <v>338</v>
      </c>
      <c r="E235" s="31">
        <v>29842</v>
      </c>
      <c r="F235" s="29"/>
      <c r="G235" s="32">
        <v>45892</v>
      </c>
      <c r="H235" s="29"/>
      <c r="I235" s="5" t="s">
        <v>54</v>
      </c>
      <c r="J235" s="5" t="s">
        <v>29</v>
      </c>
      <c r="K235" s="5" t="s">
        <v>55</v>
      </c>
      <c r="L235" t="s">
        <v>26</v>
      </c>
    </row>
    <row r="236" spans="1:13" ht="18.75" customHeight="1" x14ac:dyDescent="0.3">
      <c r="A236" s="30">
        <v>2277</v>
      </c>
      <c r="B236" s="29"/>
      <c r="C236" s="5" t="s">
        <v>14</v>
      </c>
      <c r="D236" s="7">
        <v>319</v>
      </c>
      <c r="E236" s="31">
        <v>29832</v>
      </c>
      <c r="F236" s="29"/>
      <c r="G236" s="32">
        <v>45887</v>
      </c>
      <c r="H236" s="29"/>
      <c r="I236" s="22" t="s">
        <v>19</v>
      </c>
      <c r="J236" s="22" t="s">
        <v>16</v>
      </c>
      <c r="K236" s="22" t="s">
        <v>52</v>
      </c>
      <c r="L236" t="s">
        <v>34</v>
      </c>
    </row>
    <row r="237" spans="1:13" ht="18.75" customHeight="1" x14ac:dyDescent="0.3">
      <c r="A237" s="30">
        <v>2278</v>
      </c>
      <c r="B237" s="29"/>
      <c r="C237" s="5" t="s">
        <v>14</v>
      </c>
      <c r="D237" s="7">
        <v>368</v>
      </c>
      <c r="E237" s="31">
        <v>29740</v>
      </c>
      <c r="F237" s="29"/>
      <c r="G237" s="32">
        <v>45888</v>
      </c>
      <c r="H237" s="29"/>
      <c r="I237" s="22" t="s">
        <v>19</v>
      </c>
      <c r="J237" s="22" t="s">
        <v>16</v>
      </c>
      <c r="K237" s="22" t="s">
        <v>52</v>
      </c>
      <c r="L237" t="s">
        <v>26</v>
      </c>
    </row>
    <row r="238" spans="1:13" ht="18.75" customHeight="1" x14ac:dyDescent="0.3">
      <c r="A238" s="30">
        <v>2279</v>
      </c>
      <c r="B238" s="29"/>
      <c r="C238" s="5" t="s">
        <v>14</v>
      </c>
      <c r="D238" s="7">
        <v>279</v>
      </c>
      <c r="E238" s="31">
        <v>29809</v>
      </c>
      <c r="F238" s="29"/>
      <c r="G238" s="32">
        <v>45889</v>
      </c>
      <c r="H238" s="29"/>
      <c r="I238" s="22" t="s">
        <v>19</v>
      </c>
      <c r="J238" s="22" t="s">
        <v>16</v>
      </c>
      <c r="K238" s="22" t="s">
        <v>52</v>
      </c>
      <c r="L238" t="s">
        <v>39</v>
      </c>
    </row>
    <row r="239" spans="1:13" ht="18.75" customHeight="1" x14ac:dyDescent="0.3">
      <c r="A239" s="30">
        <v>2280</v>
      </c>
      <c r="B239" s="29"/>
      <c r="C239" s="5" t="s">
        <v>14</v>
      </c>
      <c r="D239" s="7">
        <v>255</v>
      </c>
      <c r="E239" s="31">
        <v>29820</v>
      </c>
      <c r="F239" s="29"/>
      <c r="G239" s="32">
        <v>45890</v>
      </c>
      <c r="H239" s="29"/>
      <c r="I239" s="22" t="s">
        <v>19</v>
      </c>
      <c r="J239" s="22" t="s">
        <v>16</v>
      </c>
      <c r="K239" s="22" t="s">
        <v>52</v>
      </c>
      <c r="L239" t="s">
        <v>58</v>
      </c>
    </row>
    <row r="240" spans="1:13" ht="18.75" customHeight="1" x14ac:dyDescent="0.3">
      <c r="A240" s="30">
        <v>2281</v>
      </c>
      <c r="B240" s="29"/>
      <c r="C240" s="5" t="s">
        <v>14</v>
      </c>
      <c r="D240" s="7">
        <v>287</v>
      </c>
      <c r="E240" s="31">
        <v>29734</v>
      </c>
      <c r="F240" s="29"/>
      <c r="G240" s="32">
        <v>45887</v>
      </c>
      <c r="H240" s="29"/>
      <c r="I240" s="22" t="s">
        <v>19</v>
      </c>
      <c r="J240" s="22" t="s">
        <v>16</v>
      </c>
      <c r="K240" s="22" t="s">
        <v>52</v>
      </c>
      <c r="L240" t="s">
        <v>27</v>
      </c>
    </row>
    <row r="241" spans="1:13" ht="18.75" customHeight="1" x14ac:dyDescent="0.3">
      <c r="A241" s="30">
        <v>2282</v>
      </c>
      <c r="B241" s="29"/>
      <c r="C241" s="5" t="s">
        <v>40</v>
      </c>
      <c r="D241" s="7">
        <v>340</v>
      </c>
      <c r="E241" s="31">
        <v>139332</v>
      </c>
      <c r="F241" s="29"/>
      <c r="G241" s="32">
        <v>45888</v>
      </c>
      <c r="H241" s="29"/>
      <c r="I241" s="5" t="s">
        <v>50</v>
      </c>
      <c r="J241" s="5" t="s">
        <v>30</v>
      </c>
      <c r="K241" s="5"/>
      <c r="L241" t="s">
        <v>41</v>
      </c>
      <c r="M241" s="27">
        <v>1137</v>
      </c>
    </row>
    <row r="242" spans="1:13" ht="18.75" customHeight="1" x14ac:dyDescent="0.3">
      <c r="A242" s="30">
        <v>2283</v>
      </c>
      <c r="B242" s="29"/>
      <c r="C242" s="5" t="s">
        <v>40</v>
      </c>
      <c r="D242" s="7">
        <v>490</v>
      </c>
      <c r="E242" s="31">
        <v>139062</v>
      </c>
      <c r="F242" s="29"/>
      <c r="G242" s="32">
        <v>45888</v>
      </c>
      <c r="H242" s="29"/>
      <c r="I242" s="5" t="s">
        <v>50</v>
      </c>
      <c r="J242" s="5" t="s">
        <v>30</v>
      </c>
      <c r="K242" s="5"/>
      <c r="L242" t="s">
        <v>56</v>
      </c>
      <c r="M242" s="27">
        <v>1138</v>
      </c>
    </row>
    <row r="243" spans="1:13" ht="18.75" customHeight="1" x14ac:dyDescent="0.3">
      <c r="A243" s="30">
        <v>2284</v>
      </c>
      <c r="B243" s="29"/>
      <c r="C243" s="5" t="s">
        <v>40</v>
      </c>
      <c r="D243" s="7">
        <v>520</v>
      </c>
      <c r="E243" s="31">
        <v>142109</v>
      </c>
      <c r="F243" s="29"/>
      <c r="G243" s="32">
        <v>45889</v>
      </c>
      <c r="H243" s="29"/>
      <c r="I243" s="5" t="s">
        <v>50</v>
      </c>
      <c r="J243" s="5" t="s">
        <v>30</v>
      </c>
      <c r="K243" s="5"/>
      <c r="L243" t="s">
        <v>43</v>
      </c>
      <c r="M243" s="27">
        <v>1139</v>
      </c>
    </row>
    <row r="244" spans="1:13" ht="18.75" customHeight="1" x14ac:dyDescent="0.3">
      <c r="A244" s="30">
        <v>2285</v>
      </c>
      <c r="B244" s="29"/>
      <c r="C244" s="5" t="s">
        <v>40</v>
      </c>
      <c r="D244" s="7">
        <v>450</v>
      </c>
      <c r="E244" s="31">
        <v>139065</v>
      </c>
      <c r="F244" s="29"/>
      <c r="G244" s="32">
        <v>45889</v>
      </c>
      <c r="H244" s="29"/>
      <c r="I244" s="5" t="s">
        <v>50</v>
      </c>
      <c r="J244" s="5" t="s">
        <v>30</v>
      </c>
      <c r="K244" s="5"/>
      <c r="L244" t="s">
        <v>56</v>
      </c>
      <c r="M244" s="27">
        <v>1140</v>
      </c>
    </row>
    <row r="245" spans="1:13" ht="18.75" customHeight="1" x14ac:dyDescent="0.3">
      <c r="A245" s="30">
        <v>2286</v>
      </c>
      <c r="B245" s="29"/>
      <c r="C245" s="5" t="s">
        <v>40</v>
      </c>
      <c r="D245" s="7">
        <v>429</v>
      </c>
      <c r="E245" s="31">
        <v>139069</v>
      </c>
      <c r="F245" s="29"/>
      <c r="G245" s="32">
        <v>45890</v>
      </c>
      <c r="H245" s="29"/>
      <c r="I245" s="5" t="s">
        <v>50</v>
      </c>
      <c r="J245" s="5" t="s">
        <v>30</v>
      </c>
      <c r="K245" s="5"/>
      <c r="L245" t="s">
        <v>56</v>
      </c>
      <c r="M245" s="27">
        <v>1141</v>
      </c>
    </row>
    <row r="246" spans="1:13" ht="18.75" customHeight="1" x14ac:dyDescent="0.3">
      <c r="A246" s="30">
        <v>2287</v>
      </c>
      <c r="B246" s="29"/>
      <c r="C246" s="5" t="s">
        <v>40</v>
      </c>
      <c r="D246" s="7">
        <v>632</v>
      </c>
      <c r="E246" s="31">
        <v>139067</v>
      </c>
      <c r="F246" s="29"/>
      <c r="G246" s="32">
        <v>45890</v>
      </c>
      <c r="H246" s="29"/>
      <c r="I246" s="5" t="s">
        <v>50</v>
      </c>
      <c r="J246" s="5" t="s">
        <v>30</v>
      </c>
      <c r="K246" s="5"/>
      <c r="L246" t="s">
        <v>56</v>
      </c>
      <c r="M246" s="27">
        <v>1142</v>
      </c>
    </row>
    <row r="247" spans="1:13" ht="18.75" customHeight="1" x14ac:dyDescent="0.3">
      <c r="A247" s="30">
        <v>2288</v>
      </c>
      <c r="B247" s="29"/>
      <c r="C247" s="5" t="s">
        <v>40</v>
      </c>
      <c r="D247" s="7">
        <v>328</v>
      </c>
      <c r="E247" s="31">
        <v>139348</v>
      </c>
      <c r="F247" s="29"/>
      <c r="G247" s="32">
        <v>45891</v>
      </c>
      <c r="H247" s="29"/>
      <c r="I247" s="5" t="s">
        <v>50</v>
      </c>
      <c r="J247" s="5" t="s">
        <v>30</v>
      </c>
      <c r="K247" s="5"/>
      <c r="L247" t="s">
        <v>41</v>
      </c>
      <c r="M247" s="27">
        <v>1143</v>
      </c>
    </row>
    <row r="248" spans="1:13" ht="18.75" customHeight="1" x14ac:dyDescent="0.3">
      <c r="A248" s="30">
        <v>2289</v>
      </c>
      <c r="B248" s="29"/>
      <c r="C248" s="5" t="s">
        <v>40</v>
      </c>
      <c r="D248" s="7">
        <v>506</v>
      </c>
      <c r="E248" s="31">
        <v>142115</v>
      </c>
      <c r="F248" s="29"/>
      <c r="G248" s="32">
        <v>45892</v>
      </c>
      <c r="H248" s="29"/>
      <c r="I248" s="5" t="s">
        <v>50</v>
      </c>
      <c r="J248" s="5" t="s">
        <v>30</v>
      </c>
      <c r="K248" s="5"/>
      <c r="L248" t="s">
        <v>43</v>
      </c>
      <c r="M248" s="27">
        <v>1144</v>
      </c>
    </row>
    <row r="249" spans="1:13" ht="18.75" customHeight="1" x14ac:dyDescent="0.3">
      <c r="A249" s="30">
        <v>2290</v>
      </c>
      <c r="B249" s="29"/>
      <c r="C249" s="5" t="s">
        <v>40</v>
      </c>
      <c r="D249" s="7">
        <v>400</v>
      </c>
      <c r="E249" s="31">
        <v>139328</v>
      </c>
      <c r="F249" s="29"/>
      <c r="G249" s="32">
        <v>45887</v>
      </c>
      <c r="H249" s="29"/>
      <c r="I249" s="5" t="s">
        <v>48</v>
      </c>
      <c r="J249" s="5" t="s">
        <v>29</v>
      </c>
      <c r="K249" s="5"/>
      <c r="L249" t="s">
        <v>41</v>
      </c>
      <c r="M249" s="27">
        <v>1145</v>
      </c>
    </row>
    <row r="250" spans="1:13" ht="18.75" customHeight="1" x14ac:dyDescent="0.3">
      <c r="A250" s="30">
        <v>2291</v>
      </c>
      <c r="B250" s="29"/>
      <c r="C250" s="5" t="s">
        <v>40</v>
      </c>
      <c r="D250" s="7">
        <v>308</v>
      </c>
      <c r="E250" s="31">
        <v>139329</v>
      </c>
      <c r="F250" s="29"/>
      <c r="G250" s="32">
        <v>45887</v>
      </c>
      <c r="H250" s="29"/>
      <c r="I250" s="5" t="s">
        <v>48</v>
      </c>
      <c r="J250" s="5" t="s">
        <v>29</v>
      </c>
      <c r="K250" s="5"/>
      <c r="L250" t="s">
        <v>41</v>
      </c>
      <c r="M250" s="27">
        <v>1146</v>
      </c>
    </row>
    <row r="251" spans="1:13" ht="18.75" customHeight="1" x14ac:dyDescent="0.3">
      <c r="A251" s="30">
        <v>2292</v>
      </c>
      <c r="B251" s="29"/>
      <c r="C251" s="5" t="s">
        <v>40</v>
      </c>
      <c r="D251" s="7">
        <v>280</v>
      </c>
      <c r="E251" s="31">
        <v>139334</v>
      </c>
      <c r="F251" s="29"/>
      <c r="G251" s="32">
        <v>45888</v>
      </c>
      <c r="H251" s="29"/>
      <c r="I251" s="5" t="s">
        <v>48</v>
      </c>
      <c r="J251" s="5" t="s">
        <v>29</v>
      </c>
      <c r="K251" s="5"/>
      <c r="L251" t="s">
        <v>41</v>
      </c>
      <c r="M251" s="27">
        <v>1147</v>
      </c>
    </row>
    <row r="252" spans="1:13" ht="18.75" customHeight="1" x14ac:dyDescent="0.3">
      <c r="A252" s="30">
        <v>2293</v>
      </c>
      <c r="B252" s="29"/>
      <c r="C252" s="5" t="s">
        <v>40</v>
      </c>
      <c r="D252" s="7">
        <v>630</v>
      </c>
      <c r="E252" s="31">
        <v>135819</v>
      </c>
      <c r="F252" s="29"/>
      <c r="G252" s="32">
        <v>45888</v>
      </c>
      <c r="H252" s="29"/>
      <c r="I252" s="5" t="s">
        <v>48</v>
      </c>
      <c r="J252" s="5" t="s">
        <v>29</v>
      </c>
      <c r="K252" s="5"/>
      <c r="L252" t="s">
        <v>44</v>
      </c>
      <c r="M252" s="27">
        <v>1148</v>
      </c>
    </row>
    <row r="253" spans="1:13" ht="18.75" customHeight="1" x14ac:dyDescent="0.3">
      <c r="A253" s="30">
        <v>2294</v>
      </c>
      <c r="B253" s="29"/>
      <c r="C253" s="5" t="s">
        <v>40</v>
      </c>
      <c r="D253" s="7">
        <v>328</v>
      </c>
      <c r="E253" s="31">
        <v>139340</v>
      </c>
      <c r="F253" s="29"/>
      <c r="G253" s="32">
        <v>45889</v>
      </c>
      <c r="H253" s="29"/>
      <c r="I253" s="5" t="s">
        <v>48</v>
      </c>
      <c r="J253" s="5" t="s">
        <v>29</v>
      </c>
      <c r="K253" s="5"/>
      <c r="L253" t="s">
        <v>41</v>
      </c>
      <c r="M253" s="27">
        <v>1149</v>
      </c>
    </row>
    <row r="254" spans="1:13" ht="18.75" customHeight="1" x14ac:dyDescent="0.3">
      <c r="A254" s="30">
        <v>2295</v>
      </c>
      <c r="B254" s="29"/>
      <c r="C254" s="5" t="s">
        <v>40</v>
      </c>
      <c r="D254" s="7">
        <v>520</v>
      </c>
      <c r="E254" s="31">
        <v>142110</v>
      </c>
      <c r="F254" s="29"/>
      <c r="G254" s="32">
        <v>45889</v>
      </c>
      <c r="H254" s="29"/>
      <c r="I254" s="5" t="s">
        <v>48</v>
      </c>
      <c r="J254" s="5" t="s">
        <v>29</v>
      </c>
      <c r="K254" s="5"/>
      <c r="L254" t="s">
        <v>43</v>
      </c>
      <c r="M254" s="27">
        <v>1150</v>
      </c>
    </row>
    <row r="255" spans="1:13" ht="18.75" customHeight="1" x14ac:dyDescent="0.3">
      <c r="A255" s="30">
        <v>2296</v>
      </c>
      <c r="B255" s="29"/>
      <c r="C255" s="5" t="s">
        <v>40</v>
      </c>
      <c r="D255" s="7">
        <v>357</v>
      </c>
      <c r="E255" s="31">
        <v>139344</v>
      </c>
      <c r="F255" s="29"/>
      <c r="G255" s="32">
        <v>45890</v>
      </c>
      <c r="H255" s="29"/>
      <c r="I255" s="5" t="s">
        <v>48</v>
      </c>
      <c r="J255" s="5" t="s">
        <v>29</v>
      </c>
      <c r="K255" s="5"/>
      <c r="L255" t="s">
        <v>41</v>
      </c>
      <c r="M255" s="27">
        <v>1151</v>
      </c>
    </row>
    <row r="256" spans="1:13" ht="18.75" customHeight="1" x14ac:dyDescent="0.3">
      <c r="A256" s="30">
        <v>2297</v>
      </c>
      <c r="B256" s="29"/>
      <c r="C256" s="5" t="s">
        <v>40</v>
      </c>
      <c r="D256" s="7">
        <v>432</v>
      </c>
      <c r="E256" s="31">
        <v>139071</v>
      </c>
      <c r="F256" s="29"/>
      <c r="G256" s="32">
        <v>45891</v>
      </c>
      <c r="H256" s="29"/>
      <c r="I256" s="5" t="s">
        <v>48</v>
      </c>
      <c r="J256" s="5" t="s">
        <v>29</v>
      </c>
      <c r="K256" s="5"/>
      <c r="L256" t="s">
        <v>56</v>
      </c>
      <c r="M256" s="27">
        <v>1152</v>
      </c>
    </row>
    <row r="257" spans="1:13" ht="18.75" customHeight="1" x14ac:dyDescent="0.3">
      <c r="A257" s="30">
        <v>2298</v>
      </c>
      <c r="B257" s="29"/>
      <c r="C257" s="5" t="s">
        <v>40</v>
      </c>
      <c r="D257" s="7">
        <v>500</v>
      </c>
      <c r="E257" s="31">
        <v>142114</v>
      </c>
      <c r="F257" s="29"/>
      <c r="G257" s="32">
        <v>45892</v>
      </c>
      <c r="H257" s="29"/>
      <c r="I257" s="5" t="s">
        <v>48</v>
      </c>
      <c r="J257" s="5" t="s">
        <v>29</v>
      </c>
      <c r="K257" s="5"/>
      <c r="L257" t="s">
        <v>43</v>
      </c>
      <c r="M257" s="27">
        <v>1153</v>
      </c>
    </row>
    <row r="258" spans="1:13" ht="18.75" customHeight="1" x14ac:dyDescent="0.3">
      <c r="A258" s="30">
        <v>2299</v>
      </c>
      <c r="B258" s="29"/>
      <c r="C258" s="5" t="s">
        <v>40</v>
      </c>
      <c r="D258" s="7">
        <v>404</v>
      </c>
      <c r="E258" s="31">
        <v>139074</v>
      </c>
      <c r="F258" s="29"/>
      <c r="G258" s="32">
        <v>45892</v>
      </c>
      <c r="H258" s="29"/>
      <c r="I258" s="5" t="s">
        <v>48</v>
      </c>
      <c r="J258" s="5" t="s">
        <v>29</v>
      </c>
      <c r="K258" s="5"/>
      <c r="L258" t="s">
        <v>56</v>
      </c>
      <c r="M258" s="27">
        <v>1154</v>
      </c>
    </row>
    <row r="259" spans="1:13" ht="18.75" customHeight="1" x14ac:dyDescent="0.3">
      <c r="A259" s="30">
        <v>2300</v>
      </c>
      <c r="B259" s="29"/>
      <c r="C259" s="5" t="s">
        <v>14</v>
      </c>
      <c r="D259" s="7">
        <v>412</v>
      </c>
      <c r="E259" s="31">
        <v>31208</v>
      </c>
      <c r="F259" s="29"/>
      <c r="G259" s="32">
        <v>45894</v>
      </c>
      <c r="H259" s="29"/>
      <c r="I259" s="22" t="s">
        <v>19</v>
      </c>
      <c r="J259" s="22" t="s">
        <v>16</v>
      </c>
      <c r="K259" s="22" t="s">
        <v>52</v>
      </c>
      <c r="L259" t="s">
        <v>23</v>
      </c>
    </row>
    <row r="260" spans="1:13" ht="18.75" customHeight="1" x14ac:dyDescent="0.3">
      <c r="A260" s="30">
        <v>2301</v>
      </c>
      <c r="B260" s="29"/>
      <c r="C260" s="5" t="s">
        <v>14</v>
      </c>
      <c r="D260" s="7">
        <v>240</v>
      </c>
      <c r="E260" s="31">
        <v>29754</v>
      </c>
      <c r="F260" s="29"/>
      <c r="G260" s="32">
        <v>45895</v>
      </c>
      <c r="H260" s="29"/>
      <c r="I260" s="22" t="s">
        <v>19</v>
      </c>
      <c r="J260" s="22" t="s">
        <v>16</v>
      </c>
      <c r="K260" s="22" t="s">
        <v>52</v>
      </c>
      <c r="L260" t="s">
        <v>36</v>
      </c>
    </row>
    <row r="261" spans="1:13" ht="18.75" customHeight="1" x14ac:dyDescent="0.3">
      <c r="A261" s="30">
        <v>2302</v>
      </c>
      <c r="B261" s="29"/>
      <c r="C261" s="5" t="s">
        <v>14</v>
      </c>
      <c r="D261" s="7">
        <v>270</v>
      </c>
      <c r="E261" s="31">
        <v>29763</v>
      </c>
      <c r="F261" s="29"/>
      <c r="G261" s="32">
        <v>45896</v>
      </c>
      <c r="H261" s="29"/>
      <c r="I261" s="22" t="s">
        <v>19</v>
      </c>
      <c r="J261" s="22" t="s">
        <v>16</v>
      </c>
      <c r="K261" s="22" t="s">
        <v>52</v>
      </c>
      <c r="L261" t="s">
        <v>27</v>
      </c>
    </row>
    <row r="262" spans="1:13" ht="18.75" customHeight="1" x14ac:dyDescent="0.3">
      <c r="A262" s="30">
        <v>2303</v>
      </c>
      <c r="B262" s="29"/>
      <c r="C262" s="5" t="s">
        <v>14</v>
      </c>
      <c r="D262" s="7">
        <v>262</v>
      </c>
      <c r="E262" s="31">
        <v>29776</v>
      </c>
      <c r="F262" s="29"/>
      <c r="G262" s="32">
        <v>45897</v>
      </c>
      <c r="H262" s="29"/>
      <c r="I262" s="22" t="s">
        <v>19</v>
      </c>
      <c r="J262" s="22" t="s">
        <v>16</v>
      </c>
      <c r="K262" s="22" t="s">
        <v>52</v>
      </c>
      <c r="L262" t="s">
        <v>47</v>
      </c>
    </row>
    <row r="263" spans="1:13" ht="18.75" customHeight="1" x14ac:dyDescent="0.3">
      <c r="A263" s="30">
        <v>2304</v>
      </c>
      <c r="B263" s="29"/>
      <c r="C263" s="5" t="s">
        <v>14</v>
      </c>
      <c r="D263" s="7">
        <v>355</v>
      </c>
      <c r="E263" s="31">
        <v>29787</v>
      </c>
      <c r="F263" s="29"/>
      <c r="G263" s="32">
        <v>45898</v>
      </c>
      <c r="H263" s="29"/>
      <c r="I263" s="22" t="s">
        <v>19</v>
      </c>
      <c r="J263" s="22" t="s">
        <v>16</v>
      </c>
      <c r="K263" s="22" t="s">
        <v>52</v>
      </c>
      <c r="L263" t="s">
        <v>26</v>
      </c>
    </row>
    <row r="264" spans="1:13" ht="18.75" customHeight="1" x14ac:dyDescent="0.3">
      <c r="A264" s="30">
        <v>2305</v>
      </c>
      <c r="B264" s="29"/>
      <c r="C264" s="5" t="s">
        <v>14</v>
      </c>
      <c r="D264" s="7">
        <v>256</v>
      </c>
      <c r="E264" s="31">
        <v>29853</v>
      </c>
      <c r="F264" s="29"/>
      <c r="G264" s="32">
        <v>45899</v>
      </c>
      <c r="H264" s="29"/>
      <c r="I264" s="22" t="s">
        <v>19</v>
      </c>
      <c r="J264" s="22" t="s">
        <v>16</v>
      </c>
      <c r="K264" s="22" t="s">
        <v>52</v>
      </c>
      <c r="L264" t="s">
        <v>59</v>
      </c>
    </row>
    <row r="265" spans="1:13" ht="18.75" customHeight="1" x14ac:dyDescent="0.3">
      <c r="A265" s="30">
        <v>2306</v>
      </c>
      <c r="B265" s="29"/>
      <c r="C265" s="5" t="s">
        <v>14</v>
      </c>
      <c r="D265" s="7">
        <v>170</v>
      </c>
      <c r="E265" s="31">
        <v>124060</v>
      </c>
      <c r="F265" s="29"/>
      <c r="G265" s="32">
        <v>45893</v>
      </c>
      <c r="H265" s="29"/>
      <c r="I265" s="5" t="s">
        <v>15</v>
      </c>
      <c r="J265" s="5" t="s">
        <v>16</v>
      </c>
      <c r="K265" s="5" t="s">
        <v>17</v>
      </c>
      <c r="L265" t="s">
        <v>23</v>
      </c>
    </row>
    <row r="266" spans="1:13" ht="18.75" customHeight="1" x14ac:dyDescent="0.3">
      <c r="A266" s="30">
        <v>2307</v>
      </c>
      <c r="B266" s="29"/>
      <c r="C266" s="5" t="s">
        <v>14</v>
      </c>
      <c r="D266" s="7">
        <v>540</v>
      </c>
      <c r="E266" s="31">
        <v>31203</v>
      </c>
      <c r="F266" s="29"/>
      <c r="G266" s="32">
        <v>45894</v>
      </c>
      <c r="H266" s="29"/>
      <c r="I266" s="5" t="s">
        <v>15</v>
      </c>
      <c r="J266" s="5" t="s">
        <v>16</v>
      </c>
      <c r="K266" s="5" t="s">
        <v>17</v>
      </c>
      <c r="L266" t="s">
        <v>25</v>
      </c>
    </row>
    <row r="267" spans="1:13" ht="18.75" customHeight="1" x14ac:dyDescent="0.3">
      <c r="A267" s="30">
        <v>2308</v>
      </c>
      <c r="B267" s="29"/>
      <c r="C267" s="5" t="s">
        <v>14</v>
      </c>
      <c r="D267" s="7">
        <v>343</v>
      </c>
      <c r="E267" s="31">
        <v>29757</v>
      </c>
      <c r="F267" s="29"/>
      <c r="G267" s="32">
        <v>45895</v>
      </c>
      <c r="H267" s="29"/>
      <c r="I267" s="5" t="s">
        <v>15</v>
      </c>
      <c r="J267" s="5" t="s">
        <v>16</v>
      </c>
      <c r="K267" s="5" t="s">
        <v>17</v>
      </c>
      <c r="L267" t="s">
        <v>59</v>
      </c>
    </row>
    <row r="268" spans="1:13" ht="18.75" customHeight="1" x14ac:dyDescent="0.3">
      <c r="A268" s="30">
        <v>2309</v>
      </c>
      <c r="B268" s="29"/>
      <c r="C268" s="5" t="s">
        <v>14</v>
      </c>
      <c r="D268" s="7">
        <v>363</v>
      </c>
      <c r="E268" s="31">
        <v>29789</v>
      </c>
      <c r="F268" s="29"/>
      <c r="G268" s="32">
        <v>45898</v>
      </c>
      <c r="H268" s="29"/>
      <c r="I268" s="5" t="s">
        <v>15</v>
      </c>
      <c r="J268" s="5" t="s">
        <v>16</v>
      </c>
      <c r="K268" s="5" t="s">
        <v>17</v>
      </c>
      <c r="L268" t="s">
        <v>27</v>
      </c>
    </row>
    <row r="269" spans="1:13" ht="18.75" customHeight="1" x14ac:dyDescent="0.3">
      <c r="A269" s="30">
        <v>2310</v>
      </c>
      <c r="B269" s="29"/>
      <c r="C269" s="5" t="s">
        <v>40</v>
      </c>
      <c r="D269" s="7">
        <v>525</v>
      </c>
      <c r="E269" s="31">
        <v>139080</v>
      </c>
      <c r="F269" s="29"/>
      <c r="G269" s="32">
        <v>45893</v>
      </c>
      <c r="H269" s="29"/>
      <c r="I269" s="5" t="s">
        <v>50</v>
      </c>
      <c r="J269" s="5" t="s">
        <v>30</v>
      </c>
      <c r="K269" s="5"/>
      <c r="L269" t="s">
        <v>56</v>
      </c>
      <c r="M269" s="27">
        <v>1155</v>
      </c>
    </row>
    <row r="270" spans="1:13" ht="18.75" customHeight="1" x14ac:dyDescent="0.3">
      <c r="A270" s="30">
        <v>2311</v>
      </c>
      <c r="B270" s="29"/>
      <c r="C270" s="5" t="s">
        <v>40</v>
      </c>
      <c r="D270" s="7">
        <v>280</v>
      </c>
      <c r="E270" s="31">
        <v>139453</v>
      </c>
      <c r="F270" s="29"/>
      <c r="G270" s="32">
        <v>45893</v>
      </c>
      <c r="H270" s="29"/>
      <c r="I270" s="5" t="s">
        <v>50</v>
      </c>
      <c r="J270" s="5" t="s">
        <v>30</v>
      </c>
      <c r="K270" s="5"/>
      <c r="L270" t="s">
        <v>41</v>
      </c>
      <c r="M270" s="27">
        <v>1156</v>
      </c>
    </row>
    <row r="271" spans="1:13" ht="18.75" customHeight="1" x14ac:dyDescent="0.3">
      <c r="A271" s="30">
        <v>2312</v>
      </c>
      <c r="B271" s="29"/>
      <c r="C271" s="5" t="s">
        <v>40</v>
      </c>
      <c r="D271" s="7">
        <v>350</v>
      </c>
      <c r="E271" s="31">
        <v>139084</v>
      </c>
      <c r="F271" s="29"/>
      <c r="G271" s="32">
        <v>45895</v>
      </c>
      <c r="H271" s="29"/>
      <c r="I271" s="5" t="s">
        <v>50</v>
      </c>
      <c r="J271" s="5" t="s">
        <v>30</v>
      </c>
      <c r="K271" s="5"/>
      <c r="L271" t="s">
        <v>56</v>
      </c>
      <c r="M271" s="27">
        <v>1157</v>
      </c>
    </row>
    <row r="272" spans="1:13" ht="18.75" customHeight="1" x14ac:dyDescent="0.3">
      <c r="A272" s="30">
        <v>2313</v>
      </c>
      <c r="B272" s="29"/>
      <c r="C272" s="5" t="s">
        <v>40</v>
      </c>
      <c r="D272" s="7">
        <v>400</v>
      </c>
      <c r="E272" s="31">
        <v>139083</v>
      </c>
      <c r="F272" s="29"/>
      <c r="G272" s="32">
        <v>45895</v>
      </c>
      <c r="H272" s="29"/>
      <c r="I272" s="5" t="s">
        <v>50</v>
      </c>
      <c r="J272" s="5" t="s">
        <v>30</v>
      </c>
      <c r="K272" s="5"/>
      <c r="L272" t="s">
        <v>56</v>
      </c>
      <c r="M272" s="27">
        <v>1158</v>
      </c>
    </row>
    <row r="273" spans="1:13" ht="18.75" customHeight="1" x14ac:dyDescent="0.3">
      <c r="A273" s="30">
        <v>2314</v>
      </c>
      <c r="B273" s="29"/>
      <c r="C273" s="5" t="s">
        <v>40</v>
      </c>
      <c r="D273" s="7">
        <v>468</v>
      </c>
      <c r="E273" s="31">
        <v>139085</v>
      </c>
      <c r="F273" s="29"/>
      <c r="G273" s="32">
        <v>45896</v>
      </c>
      <c r="H273" s="29"/>
      <c r="I273" s="5" t="s">
        <v>50</v>
      </c>
      <c r="J273" s="5" t="s">
        <v>30</v>
      </c>
      <c r="K273" s="5"/>
      <c r="L273" t="s">
        <v>56</v>
      </c>
      <c r="M273" s="27">
        <v>1159</v>
      </c>
    </row>
    <row r="274" spans="1:13" ht="18.75" customHeight="1" x14ac:dyDescent="0.3">
      <c r="A274" s="30">
        <v>2315</v>
      </c>
      <c r="B274" s="29"/>
      <c r="C274" s="5" t="s">
        <v>40</v>
      </c>
      <c r="D274" s="7">
        <v>252</v>
      </c>
      <c r="E274" s="31">
        <v>139460</v>
      </c>
      <c r="F274" s="29"/>
      <c r="G274" s="32">
        <v>45896</v>
      </c>
      <c r="H274" s="29"/>
      <c r="I274" s="5" t="s">
        <v>50</v>
      </c>
      <c r="J274" s="5" t="s">
        <v>30</v>
      </c>
      <c r="K274" s="5"/>
      <c r="L274" t="s">
        <v>41</v>
      </c>
      <c r="M274" s="27">
        <v>1160</v>
      </c>
    </row>
    <row r="275" spans="1:13" ht="18.75" customHeight="1" x14ac:dyDescent="0.3">
      <c r="A275" s="30">
        <v>2316</v>
      </c>
      <c r="B275" s="29"/>
      <c r="C275" s="5" t="s">
        <v>40</v>
      </c>
      <c r="D275" s="7">
        <v>520</v>
      </c>
      <c r="E275" s="31">
        <v>142122</v>
      </c>
      <c r="F275" s="29"/>
      <c r="G275" s="32">
        <v>45898</v>
      </c>
      <c r="H275" s="29"/>
      <c r="I275" s="5" t="s">
        <v>50</v>
      </c>
      <c r="J275" s="5" t="s">
        <v>30</v>
      </c>
      <c r="K275" s="5"/>
      <c r="L275" t="s">
        <v>43</v>
      </c>
      <c r="M275" s="27">
        <v>1161</v>
      </c>
    </row>
    <row r="276" spans="1:13" ht="18.75" customHeight="1" x14ac:dyDescent="0.3">
      <c r="A276" s="30">
        <v>2317</v>
      </c>
      <c r="B276" s="29"/>
      <c r="C276" s="5" t="s">
        <v>40</v>
      </c>
      <c r="D276" s="7">
        <v>522</v>
      </c>
      <c r="E276" s="31">
        <v>139091</v>
      </c>
      <c r="F276" s="29"/>
      <c r="G276" s="32">
        <v>45898</v>
      </c>
      <c r="H276" s="29"/>
      <c r="I276" s="5" t="s">
        <v>50</v>
      </c>
      <c r="J276" s="5" t="s">
        <v>30</v>
      </c>
      <c r="K276" s="5"/>
      <c r="L276" t="s">
        <v>56</v>
      </c>
      <c r="M276" s="27">
        <v>1162</v>
      </c>
    </row>
    <row r="277" spans="1:13" ht="18.75" customHeight="1" x14ac:dyDescent="0.3">
      <c r="A277" s="30">
        <v>2318</v>
      </c>
      <c r="B277" s="29"/>
      <c r="C277" s="5" t="s">
        <v>40</v>
      </c>
      <c r="D277" s="7">
        <v>345</v>
      </c>
      <c r="E277" s="31">
        <v>139077</v>
      </c>
      <c r="F277" s="29"/>
      <c r="G277" s="32">
        <v>45893</v>
      </c>
      <c r="H277" s="29"/>
      <c r="I277" s="5" t="s">
        <v>48</v>
      </c>
      <c r="J277" s="5" t="s">
        <v>29</v>
      </c>
      <c r="K277" s="5"/>
      <c r="L277" t="s">
        <v>56</v>
      </c>
      <c r="M277" s="27">
        <v>1163</v>
      </c>
    </row>
    <row r="278" spans="1:13" ht="18.75" customHeight="1" x14ac:dyDescent="0.3">
      <c r="A278" s="30">
        <v>2319</v>
      </c>
      <c r="B278" s="29"/>
      <c r="C278" s="5" t="s">
        <v>40</v>
      </c>
      <c r="D278" s="7">
        <v>350</v>
      </c>
      <c r="E278" s="31">
        <v>139079</v>
      </c>
      <c r="F278" s="29"/>
      <c r="G278" s="32">
        <v>45893</v>
      </c>
      <c r="H278" s="29"/>
      <c r="I278" s="5" t="s">
        <v>48</v>
      </c>
      <c r="J278" s="5" t="s">
        <v>29</v>
      </c>
      <c r="K278" s="5"/>
      <c r="L278" t="s">
        <v>56</v>
      </c>
      <c r="M278" s="27">
        <v>1164</v>
      </c>
    </row>
    <row r="279" spans="1:13" ht="18.75" customHeight="1" x14ac:dyDescent="0.3">
      <c r="A279" s="30">
        <v>2320</v>
      </c>
      <c r="B279" s="29"/>
      <c r="C279" s="5" t="s">
        <v>40</v>
      </c>
      <c r="D279" s="7">
        <v>590</v>
      </c>
      <c r="E279" s="31">
        <v>135829</v>
      </c>
      <c r="F279" s="29"/>
      <c r="G279" s="32">
        <v>45895</v>
      </c>
      <c r="H279" s="29"/>
      <c r="I279" s="5" t="s">
        <v>48</v>
      </c>
      <c r="J279" s="5" t="s">
        <v>29</v>
      </c>
      <c r="K279" s="5"/>
      <c r="L279" t="s">
        <v>57</v>
      </c>
      <c r="M279" s="27">
        <v>1165</v>
      </c>
    </row>
    <row r="280" spans="1:13" ht="18.75" customHeight="1" x14ac:dyDescent="0.3">
      <c r="A280" s="30">
        <v>2321</v>
      </c>
      <c r="B280" s="29"/>
      <c r="C280" s="5" t="s">
        <v>40</v>
      </c>
      <c r="D280" s="7">
        <v>350</v>
      </c>
      <c r="E280" s="31">
        <v>139086</v>
      </c>
      <c r="F280" s="29"/>
      <c r="G280" s="32">
        <v>45896</v>
      </c>
      <c r="H280" s="29"/>
      <c r="I280" s="5" t="s">
        <v>48</v>
      </c>
      <c r="J280" s="5" t="s">
        <v>29</v>
      </c>
      <c r="K280" s="5"/>
      <c r="L280" t="s">
        <v>56</v>
      </c>
      <c r="M280" s="27">
        <v>1166</v>
      </c>
    </row>
    <row r="281" spans="1:13" ht="18.75" customHeight="1" x14ac:dyDescent="0.3">
      <c r="A281" s="30">
        <v>2322</v>
      </c>
      <c r="B281" s="29"/>
      <c r="C281" s="5" t="s">
        <v>40</v>
      </c>
      <c r="D281" s="7">
        <v>520</v>
      </c>
      <c r="E281" s="31">
        <v>142119</v>
      </c>
      <c r="F281" s="29"/>
      <c r="G281" s="32">
        <v>45897</v>
      </c>
      <c r="H281" s="29"/>
      <c r="I281" s="5" t="s">
        <v>48</v>
      </c>
      <c r="J281" s="5" t="s">
        <v>29</v>
      </c>
      <c r="K281" s="5"/>
      <c r="L281" t="s">
        <v>43</v>
      </c>
      <c r="M281" s="27">
        <v>1167</v>
      </c>
    </row>
    <row r="282" spans="1:13" ht="18.75" customHeight="1" x14ac:dyDescent="0.3">
      <c r="A282" s="30">
        <v>2323</v>
      </c>
      <c r="B282" s="29"/>
      <c r="C282" s="5" t="s">
        <v>40</v>
      </c>
      <c r="D282" s="7">
        <v>382</v>
      </c>
      <c r="E282" s="31">
        <v>139092</v>
      </c>
      <c r="F282" s="29"/>
      <c r="G282" s="32">
        <v>45898</v>
      </c>
      <c r="H282" s="29"/>
      <c r="I282" s="5" t="s">
        <v>48</v>
      </c>
      <c r="J282" s="5" t="s">
        <v>29</v>
      </c>
      <c r="K282" s="5"/>
      <c r="L282" t="s">
        <v>56</v>
      </c>
      <c r="M282" s="27">
        <v>1168</v>
      </c>
    </row>
    <row r="283" spans="1:13" ht="18.75" customHeight="1" x14ac:dyDescent="0.3">
      <c r="A283" s="30">
        <v>2324</v>
      </c>
      <c r="B283" s="29"/>
      <c r="C283" s="5" t="s">
        <v>40</v>
      </c>
      <c r="D283" s="7">
        <v>506</v>
      </c>
      <c r="E283" s="31">
        <v>142123</v>
      </c>
      <c r="F283" s="29"/>
      <c r="G283" s="32">
        <v>45898</v>
      </c>
      <c r="H283" s="29"/>
      <c r="I283" s="5" t="s">
        <v>48</v>
      </c>
      <c r="J283" s="5" t="s">
        <v>29</v>
      </c>
      <c r="K283" s="5"/>
      <c r="L283" t="s">
        <v>43</v>
      </c>
      <c r="M283" s="27">
        <v>1169</v>
      </c>
    </row>
    <row r="284" spans="1:13" ht="18.75" customHeight="1" x14ac:dyDescent="0.3">
      <c r="A284" s="30">
        <v>2325</v>
      </c>
      <c r="B284" s="29"/>
      <c r="C284" s="5" t="s">
        <v>14</v>
      </c>
      <c r="D284" s="7">
        <v>337</v>
      </c>
      <c r="E284" s="31">
        <v>29781</v>
      </c>
      <c r="F284" s="29"/>
      <c r="G284" s="32">
        <v>45897</v>
      </c>
      <c r="H284" s="29"/>
      <c r="I284" s="5" t="s">
        <v>15</v>
      </c>
      <c r="J284" s="5" t="s">
        <v>16</v>
      </c>
      <c r="K284" s="5" t="s">
        <v>17</v>
      </c>
      <c r="L284" t="s">
        <v>33</v>
      </c>
    </row>
    <row r="285" spans="1:13" ht="18.75" customHeight="1" x14ac:dyDescent="0.3">
      <c r="A285" s="30">
        <v>2326</v>
      </c>
      <c r="B285" s="29"/>
      <c r="C285" s="5" t="s">
        <v>14</v>
      </c>
      <c r="D285" s="7">
        <v>81</v>
      </c>
      <c r="E285" s="31">
        <v>29782</v>
      </c>
      <c r="F285" s="29"/>
      <c r="G285" s="32">
        <v>45897</v>
      </c>
      <c r="H285" s="29"/>
      <c r="I285" s="5" t="s">
        <v>15</v>
      </c>
      <c r="J285" s="5" t="s">
        <v>16</v>
      </c>
      <c r="K285" s="5" t="s">
        <v>17</v>
      </c>
      <c r="L285" t="s">
        <v>33</v>
      </c>
    </row>
    <row r="286" spans="1:13" ht="18.75" customHeight="1" x14ac:dyDescent="0.3">
      <c r="A286" s="30">
        <v>2327</v>
      </c>
      <c r="B286" s="29"/>
      <c r="C286" s="5" t="s">
        <v>14</v>
      </c>
      <c r="D286" s="7">
        <v>303</v>
      </c>
      <c r="E286" s="31">
        <v>29799</v>
      </c>
      <c r="F286" s="29"/>
      <c r="G286" s="32">
        <v>45899</v>
      </c>
      <c r="H286" s="29"/>
      <c r="I286" s="5" t="s">
        <v>15</v>
      </c>
      <c r="J286" s="5" t="s">
        <v>16</v>
      </c>
      <c r="K286" s="5" t="s">
        <v>17</v>
      </c>
      <c r="L286" t="s">
        <v>36</v>
      </c>
    </row>
    <row r="287" spans="1:13" ht="18.75" customHeight="1" x14ac:dyDescent="0.3">
      <c r="A287" s="30">
        <v>2328</v>
      </c>
      <c r="B287" s="29"/>
      <c r="C287" s="5" t="s">
        <v>40</v>
      </c>
      <c r="D287" s="7">
        <v>383</v>
      </c>
      <c r="E287" s="31">
        <v>139094</v>
      </c>
      <c r="F287" s="29"/>
      <c r="G287" s="32">
        <v>45899</v>
      </c>
      <c r="H287" s="29"/>
      <c r="I287" s="5" t="s">
        <v>50</v>
      </c>
      <c r="J287" s="5" t="s">
        <v>30</v>
      </c>
      <c r="K287" s="5"/>
      <c r="L287" t="s">
        <v>56</v>
      </c>
      <c r="M287" s="27">
        <v>1170</v>
      </c>
    </row>
    <row r="288" spans="1:13" ht="18.75" customHeight="1" x14ac:dyDescent="0.3">
      <c r="A288" s="30">
        <v>2329</v>
      </c>
      <c r="B288" s="29"/>
      <c r="C288" s="5" t="s">
        <v>40</v>
      </c>
      <c r="D288" s="7">
        <v>360</v>
      </c>
      <c r="E288" s="31">
        <v>142152</v>
      </c>
      <c r="F288" s="29"/>
      <c r="G288" s="32">
        <v>45900</v>
      </c>
      <c r="H288" s="29"/>
      <c r="I288" s="5" t="s">
        <v>50</v>
      </c>
      <c r="J288" s="5" t="s">
        <v>30</v>
      </c>
      <c r="K288" s="5"/>
      <c r="L288" t="s">
        <v>56</v>
      </c>
      <c r="M288" s="27">
        <v>1171</v>
      </c>
    </row>
    <row r="289" spans="1:13" ht="18.75" customHeight="1" x14ac:dyDescent="0.3">
      <c r="A289" s="30">
        <v>2330</v>
      </c>
      <c r="B289" s="29"/>
      <c r="C289" s="5" t="s">
        <v>40</v>
      </c>
      <c r="D289" s="7">
        <v>314</v>
      </c>
      <c r="E289" s="31">
        <v>139473</v>
      </c>
      <c r="F289" s="29"/>
      <c r="G289" s="32">
        <v>45901</v>
      </c>
      <c r="H289" s="29"/>
      <c r="I289" s="5" t="s">
        <v>50</v>
      </c>
      <c r="J289" s="5" t="s">
        <v>30</v>
      </c>
      <c r="K289" s="5"/>
      <c r="L289" t="s">
        <v>41</v>
      </c>
      <c r="M289" s="27">
        <v>1172</v>
      </c>
    </row>
    <row r="290" spans="1:13" ht="18.75" customHeight="1" x14ac:dyDescent="0.3">
      <c r="A290" s="30">
        <v>2331</v>
      </c>
      <c r="B290" s="29"/>
      <c r="C290" s="5" t="s">
        <v>40</v>
      </c>
      <c r="D290" s="7">
        <v>350</v>
      </c>
      <c r="E290" s="31">
        <v>139099</v>
      </c>
      <c r="F290" s="29"/>
      <c r="G290" s="32">
        <v>45902</v>
      </c>
      <c r="H290" s="29"/>
      <c r="I290" s="5" t="s">
        <v>50</v>
      </c>
      <c r="J290" s="5" t="s">
        <v>30</v>
      </c>
      <c r="K290" s="5"/>
      <c r="L290" t="s">
        <v>56</v>
      </c>
      <c r="M290" s="27">
        <v>1173</v>
      </c>
    </row>
    <row r="291" spans="1:13" ht="18.75" customHeight="1" x14ac:dyDescent="0.3">
      <c r="A291" s="30">
        <v>2332</v>
      </c>
      <c r="B291" s="29"/>
      <c r="C291" s="5" t="s">
        <v>40</v>
      </c>
      <c r="D291" s="7">
        <v>366</v>
      </c>
      <c r="E291" s="31">
        <v>142129</v>
      </c>
      <c r="F291" s="29"/>
      <c r="G291" s="32">
        <v>45903</v>
      </c>
      <c r="H291" s="29"/>
      <c r="I291" s="5" t="s">
        <v>50</v>
      </c>
      <c r="J291" s="5" t="s">
        <v>30</v>
      </c>
      <c r="K291" s="5"/>
      <c r="L291" t="s">
        <v>43</v>
      </c>
      <c r="M291" s="27">
        <v>1174</v>
      </c>
    </row>
    <row r="292" spans="1:13" ht="18.75" customHeight="1" x14ac:dyDescent="0.3">
      <c r="A292" s="30">
        <v>2333</v>
      </c>
      <c r="B292" s="29"/>
      <c r="C292" s="5" t="s">
        <v>40</v>
      </c>
      <c r="D292" s="7">
        <v>546</v>
      </c>
      <c r="E292" s="31">
        <v>139485</v>
      </c>
      <c r="F292" s="29"/>
      <c r="G292" s="32">
        <v>45904</v>
      </c>
      <c r="H292" s="29"/>
      <c r="I292" s="5" t="s">
        <v>50</v>
      </c>
      <c r="J292" s="5" t="s">
        <v>30</v>
      </c>
      <c r="K292" s="5"/>
      <c r="L292" t="s">
        <v>41</v>
      </c>
      <c r="M292" s="27">
        <v>1175</v>
      </c>
    </row>
    <row r="293" spans="1:13" ht="18.75" customHeight="1" x14ac:dyDescent="0.3">
      <c r="A293" s="30">
        <v>2334</v>
      </c>
      <c r="B293" s="29"/>
      <c r="C293" s="5" t="s">
        <v>40</v>
      </c>
      <c r="D293" s="7">
        <v>256</v>
      </c>
      <c r="E293" s="31">
        <v>139488</v>
      </c>
      <c r="F293" s="29"/>
      <c r="G293" s="32">
        <v>45904</v>
      </c>
      <c r="H293" s="29"/>
      <c r="I293" s="5" t="s">
        <v>50</v>
      </c>
      <c r="J293" s="5" t="s">
        <v>30</v>
      </c>
      <c r="K293" s="5"/>
      <c r="L293" t="s">
        <v>41</v>
      </c>
      <c r="M293" s="27">
        <v>1176</v>
      </c>
    </row>
    <row r="294" spans="1:13" ht="18.75" customHeight="1" x14ac:dyDescent="0.3">
      <c r="A294" s="30">
        <v>2335</v>
      </c>
      <c r="B294" s="29"/>
      <c r="C294" s="5" t="s">
        <v>40</v>
      </c>
      <c r="D294" s="7">
        <v>470</v>
      </c>
      <c r="E294" s="31">
        <v>142133</v>
      </c>
      <c r="F294" s="29"/>
      <c r="G294" s="32">
        <v>45905</v>
      </c>
      <c r="H294" s="29"/>
      <c r="I294" s="5" t="s">
        <v>50</v>
      </c>
      <c r="J294" s="5" t="s">
        <v>30</v>
      </c>
      <c r="K294" s="5"/>
      <c r="L294" t="s">
        <v>43</v>
      </c>
      <c r="M294" s="27">
        <v>1177</v>
      </c>
    </row>
    <row r="295" spans="1:13" ht="18.75" customHeight="1" x14ac:dyDescent="0.3">
      <c r="A295" s="30">
        <v>2336</v>
      </c>
      <c r="B295" s="29"/>
      <c r="C295" s="5" t="s">
        <v>40</v>
      </c>
      <c r="D295" s="7">
        <v>519</v>
      </c>
      <c r="E295" s="31">
        <v>142137</v>
      </c>
      <c r="F295" s="29"/>
      <c r="G295" s="32">
        <v>45906</v>
      </c>
      <c r="H295" s="29"/>
      <c r="I295" s="5" t="s">
        <v>50</v>
      </c>
      <c r="J295" s="5" t="s">
        <v>30</v>
      </c>
      <c r="K295" s="5"/>
      <c r="L295" t="s">
        <v>43</v>
      </c>
      <c r="M295" s="27">
        <v>1178</v>
      </c>
    </row>
    <row r="296" spans="1:13" ht="18.75" customHeight="1" x14ac:dyDescent="0.3">
      <c r="A296" s="30">
        <v>2337</v>
      </c>
      <c r="B296" s="29"/>
      <c r="C296" s="5" t="s">
        <v>40</v>
      </c>
      <c r="D296" s="7">
        <v>400</v>
      </c>
      <c r="E296" s="31">
        <v>139093</v>
      </c>
      <c r="F296" s="29"/>
      <c r="G296" s="32">
        <v>45899</v>
      </c>
      <c r="H296" s="29"/>
      <c r="I296" s="5" t="s">
        <v>48</v>
      </c>
      <c r="J296" s="5" t="s">
        <v>29</v>
      </c>
      <c r="K296" s="5"/>
      <c r="L296" t="s">
        <v>56</v>
      </c>
      <c r="M296" s="27">
        <v>1179</v>
      </c>
    </row>
    <row r="297" spans="1:13" ht="18.75" customHeight="1" x14ac:dyDescent="0.3">
      <c r="A297" s="30">
        <v>2338</v>
      </c>
      <c r="B297" s="29"/>
      <c r="C297" s="5" t="s">
        <v>40</v>
      </c>
      <c r="D297" s="7">
        <v>400</v>
      </c>
      <c r="E297" s="31">
        <v>142156</v>
      </c>
      <c r="F297" s="29"/>
      <c r="G297" s="32">
        <v>45900</v>
      </c>
      <c r="H297" s="29"/>
      <c r="I297" s="5" t="s">
        <v>48</v>
      </c>
      <c r="J297" s="5" t="s">
        <v>29</v>
      </c>
      <c r="K297" s="5"/>
      <c r="L297" t="s">
        <v>56</v>
      </c>
      <c r="M297" s="27">
        <v>1180</v>
      </c>
    </row>
    <row r="298" spans="1:13" ht="18.75" customHeight="1" x14ac:dyDescent="0.3">
      <c r="A298" s="30">
        <v>2339</v>
      </c>
      <c r="B298" s="29"/>
      <c r="C298" s="5" t="s">
        <v>40</v>
      </c>
      <c r="D298" s="7">
        <v>367</v>
      </c>
      <c r="E298" s="31">
        <v>142153</v>
      </c>
      <c r="F298" s="29"/>
      <c r="G298" s="32">
        <v>45900</v>
      </c>
      <c r="H298" s="29"/>
      <c r="I298" s="5" t="s">
        <v>48</v>
      </c>
      <c r="J298" s="5" t="s">
        <v>29</v>
      </c>
      <c r="K298" s="5"/>
      <c r="L298" t="s">
        <v>56</v>
      </c>
      <c r="M298" s="27">
        <v>1181</v>
      </c>
    </row>
    <row r="299" spans="1:13" ht="18.75" customHeight="1" x14ac:dyDescent="0.3">
      <c r="A299" s="30">
        <v>2340</v>
      </c>
      <c r="B299" s="29"/>
      <c r="C299" s="5" t="s">
        <v>40</v>
      </c>
      <c r="D299" s="7">
        <v>400</v>
      </c>
      <c r="E299" s="31">
        <v>139096</v>
      </c>
      <c r="F299" s="29"/>
      <c r="G299" s="32">
        <v>45901</v>
      </c>
      <c r="H299" s="29"/>
      <c r="I299" s="5" t="s">
        <v>48</v>
      </c>
      <c r="J299" s="5" t="s">
        <v>29</v>
      </c>
      <c r="K299" s="5"/>
      <c r="L299" t="s">
        <v>56</v>
      </c>
      <c r="M299" s="27">
        <v>1182</v>
      </c>
    </row>
    <row r="300" spans="1:13" ht="18.75" customHeight="1" x14ac:dyDescent="0.3">
      <c r="A300" s="30">
        <v>2341</v>
      </c>
      <c r="B300" s="29"/>
      <c r="C300" s="5" t="s">
        <v>40</v>
      </c>
      <c r="D300" s="7">
        <v>328</v>
      </c>
      <c r="E300" s="31">
        <v>139477</v>
      </c>
      <c r="F300" s="29"/>
      <c r="G300" s="32">
        <v>45902</v>
      </c>
      <c r="H300" s="29"/>
      <c r="I300" s="5" t="s">
        <v>48</v>
      </c>
      <c r="J300" s="5" t="s">
        <v>29</v>
      </c>
      <c r="K300" s="5"/>
      <c r="L300" t="s">
        <v>41</v>
      </c>
      <c r="M300" s="27">
        <v>1183</v>
      </c>
    </row>
    <row r="301" spans="1:13" ht="18.75" customHeight="1" x14ac:dyDescent="0.3">
      <c r="A301" s="30">
        <v>2342</v>
      </c>
      <c r="B301" s="29"/>
      <c r="C301" s="5" t="s">
        <v>40</v>
      </c>
      <c r="D301" s="7">
        <v>520</v>
      </c>
      <c r="E301" s="31">
        <v>142131</v>
      </c>
      <c r="F301" s="29"/>
      <c r="G301" s="32">
        <v>45904</v>
      </c>
      <c r="H301" s="29"/>
      <c r="I301" s="5" t="s">
        <v>48</v>
      </c>
      <c r="J301" s="5" t="s">
        <v>29</v>
      </c>
      <c r="K301" s="5"/>
      <c r="L301" t="s">
        <v>43</v>
      </c>
      <c r="M301" s="27">
        <v>1184</v>
      </c>
    </row>
    <row r="302" spans="1:13" ht="18.75" customHeight="1" x14ac:dyDescent="0.3">
      <c r="A302" s="30">
        <v>2343</v>
      </c>
      <c r="B302" s="29"/>
      <c r="C302" s="5" t="s">
        <v>40</v>
      </c>
      <c r="D302" s="7">
        <v>270</v>
      </c>
      <c r="E302" s="31">
        <v>139489</v>
      </c>
      <c r="F302" s="29"/>
      <c r="G302" s="32">
        <v>45904</v>
      </c>
      <c r="H302" s="29"/>
      <c r="I302" s="5" t="s">
        <v>48</v>
      </c>
      <c r="J302" s="5" t="s">
        <v>29</v>
      </c>
      <c r="K302" s="5"/>
      <c r="L302" t="s">
        <v>41</v>
      </c>
      <c r="M302" s="27">
        <v>1185</v>
      </c>
    </row>
    <row r="303" spans="1:13" ht="18.75" customHeight="1" x14ac:dyDescent="0.3">
      <c r="A303" s="30">
        <v>2344</v>
      </c>
      <c r="B303" s="29"/>
      <c r="C303" s="5" t="s">
        <v>40</v>
      </c>
      <c r="D303" s="7">
        <v>470</v>
      </c>
      <c r="E303" s="31">
        <v>142136</v>
      </c>
      <c r="F303" s="29"/>
      <c r="G303" s="32">
        <v>45906</v>
      </c>
      <c r="H303" s="29"/>
      <c r="I303" s="5" t="s">
        <v>48</v>
      </c>
      <c r="J303" s="5" t="s">
        <v>29</v>
      </c>
      <c r="K303" s="5"/>
      <c r="L303" t="s">
        <v>43</v>
      </c>
      <c r="M303" s="27">
        <v>1186</v>
      </c>
    </row>
    <row r="304" spans="1:13" ht="18.75" customHeight="1" x14ac:dyDescent="0.3">
      <c r="A304" s="30">
        <v>2345</v>
      </c>
      <c r="B304" s="29"/>
      <c r="C304" s="5" t="s">
        <v>14</v>
      </c>
      <c r="D304" s="7">
        <v>363</v>
      </c>
      <c r="E304" s="31">
        <v>29860</v>
      </c>
      <c r="F304" s="29"/>
      <c r="G304" s="32">
        <v>45901</v>
      </c>
      <c r="H304" s="29"/>
      <c r="I304" s="22" t="s">
        <v>19</v>
      </c>
      <c r="J304" s="22" t="s">
        <v>16</v>
      </c>
      <c r="K304" s="22" t="s">
        <v>52</v>
      </c>
      <c r="L304" t="s">
        <v>60</v>
      </c>
    </row>
    <row r="305" spans="1:12" ht="18.75" customHeight="1" x14ac:dyDescent="0.3">
      <c r="A305" s="30">
        <v>2346</v>
      </c>
      <c r="B305" s="29"/>
      <c r="C305" s="5" t="s">
        <v>14</v>
      </c>
      <c r="D305" s="7">
        <v>268</v>
      </c>
      <c r="E305" s="31">
        <v>29875</v>
      </c>
      <c r="F305" s="29"/>
      <c r="G305" s="32">
        <v>45902</v>
      </c>
      <c r="H305" s="29"/>
      <c r="I305" s="22" t="s">
        <v>19</v>
      </c>
      <c r="J305" s="22" t="s">
        <v>16</v>
      </c>
      <c r="K305" s="22" t="s">
        <v>52</v>
      </c>
      <c r="L305" t="s">
        <v>36</v>
      </c>
    </row>
    <row r="306" spans="1:12" ht="18.75" customHeight="1" x14ac:dyDescent="0.3">
      <c r="A306" s="30">
        <v>2347</v>
      </c>
      <c r="B306" s="29"/>
      <c r="C306" s="5" t="s">
        <v>14</v>
      </c>
      <c r="D306" s="7">
        <v>323</v>
      </c>
      <c r="E306" s="31">
        <v>29885</v>
      </c>
      <c r="F306" s="29"/>
      <c r="G306" s="32">
        <v>45903</v>
      </c>
      <c r="H306" s="29"/>
      <c r="I306" s="22" t="s">
        <v>19</v>
      </c>
      <c r="J306" s="22" t="s">
        <v>16</v>
      </c>
      <c r="K306" s="22" t="s">
        <v>52</v>
      </c>
      <c r="L306" t="s">
        <v>27</v>
      </c>
    </row>
    <row r="307" spans="1:12" ht="18.75" customHeight="1" x14ac:dyDescent="0.3">
      <c r="A307" s="30">
        <v>2348</v>
      </c>
      <c r="B307" s="29"/>
      <c r="C307" s="5" t="s">
        <v>14</v>
      </c>
      <c r="D307" s="7">
        <v>253</v>
      </c>
      <c r="E307" s="31">
        <v>29894</v>
      </c>
      <c r="F307" s="29"/>
      <c r="G307" s="32">
        <v>45904</v>
      </c>
      <c r="H307" s="29"/>
      <c r="I307" s="22" t="s">
        <v>19</v>
      </c>
      <c r="J307" s="22" t="s">
        <v>16</v>
      </c>
      <c r="K307" s="22" t="s">
        <v>52</v>
      </c>
      <c r="L307" t="s">
        <v>26</v>
      </c>
    </row>
    <row r="308" spans="1:12" ht="18.75" customHeight="1" x14ac:dyDescent="0.3">
      <c r="A308" s="30">
        <v>2349</v>
      </c>
      <c r="B308" s="29"/>
      <c r="C308" s="5" t="s">
        <v>14</v>
      </c>
      <c r="D308" s="7">
        <v>351</v>
      </c>
      <c r="E308" s="31">
        <v>31226</v>
      </c>
      <c r="F308" s="29"/>
      <c r="G308" s="32">
        <v>45904</v>
      </c>
      <c r="H308" s="29"/>
      <c r="I308" s="22" t="s">
        <v>19</v>
      </c>
      <c r="J308" s="22" t="s">
        <v>16</v>
      </c>
      <c r="K308" s="22" t="s">
        <v>52</v>
      </c>
      <c r="L308" t="s">
        <v>39</v>
      </c>
    </row>
    <row r="309" spans="1:12" ht="18.75" customHeight="1" x14ac:dyDescent="0.3">
      <c r="A309" s="30">
        <v>2350</v>
      </c>
      <c r="B309" s="29"/>
      <c r="C309" s="5" t="s">
        <v>14</v>
      </c>
      <c r="D309" s="7">
        <v>320</v>
      </c>
      <c r="E309" s="31">
        <v>31230</v>
      </c>
      <c r="F309" s="29"/>
      <c r="G309" s="32">
        <v>45906</v>
      </c>
      <c r="H309" s="29"/>
      <c r="I309" s="22" t="s">
        <v>19</v>
      </c>
      <c r="J309" s="22" t="s">
        <v>16</v>
      </c>
      <c r="K309" s="22" t="s">
        <v>52</v>
      </c>
      <c r="L309" t="s">
        <v>26</v>
      </c>
    </row>
    <row r="310" spans="1:12" ht="18.75" customHeight="1" x14ac:dyDescent="0.3">
      <c r="A310" s="30">
        <v>2351</v>
      </c>
      <c r="B310" s="29"/>
      <c r="C310" s="5" t="s">
        <v>14</v>
      </c>
      <c r="D310" s="7">
        <v>599</v>
      </c>
      <c r="E310" s="31">
        <v>29867</v>
      </c>
      <c r="F310" s="29"/>
      <c r="G310" s="32">
        <v>45901</v>
      </c>
      <c r="H310" s="29"/>
      <c r="I310" s="5" t="s">
        <v>15</v>
      </c>
      <c r="J310" s="5" t="s">
        <v>16</v>
      </c>
      <c r="K310" s="5" t="s">
        <v>17</v>
      </c>
      <c r="L310" t="s">
        <v>38</v>
      </c>
    </row>
    <row r="311" spans="1:12" ht="18.75" customHeight="1" x14ac:dyDescent="0.3">
      <c r="A311" s="30">
        <v>2352</v>
      </c>
      <c r="B311" s="29"/>
      <c r="C311" s="5" t="s">
        <v>14</v>
      </c>
      <c r="D311" s="7">
        <v>458</v>
      </c>
      <c r="E311" s="31">
        <v>31221</v>
      </c>
      <c r="F311" s="29"/>
      <c r="G311" s="32">
        <v>45904</v>
      </c>
      <c r="H311" s="29"/>
      <c r="I311" s="5" t="s">
        <v>15</v>
      </c>
      <c r="J311" s="5" t="s">
        <v>16</v>
      </c>
      <c r="K311" s="5" t="s">
        <v>17</v>
      </c>
      <c r="L311" t="s">
        <v>18</v>
      </c>
    </row>
    <row r="312" spans="1:12" ht="18.75" customHeight="1" x14ac:dyDescent="0.3">
      <c r="A312" s="30">
        <v>2353</v>
      </c>
      <c r="B312" s="29"/>
      <c r="C312" s="5" t="s">
        <v>14</v>
      </c>
      <c r="D312" s="7">
        <v>316</v>
      </c>
      <c r="E312" s="31">
        <v>31231</v>
      </c>
      <c r="F312" s="29"/>
      <c r="G312" s="32">
        <v>45906</v>
      </c>
      <c r="H312" s="29"/>
      <c r="I312" s="5" t="s">
        <v>15</v>
      </c>
      <c r="J312" s="5" t="s">
        <v>16</v>
      </c>
      <c r="K312" s="5" t="s">
        <v>17</v>
      </c>
      <c r="L312" t="s">
        <v>24</v>
      </c>
    </row>
    <row r="313" spans="1:12" ht="18.75" customHeight="1" x14ac:dyDescent="0.3">
      <c r="A313" s="30">
        <v>2354</v>
      </c>
      <c r="B313" s="29"/>
      <c r="C313" s="5" t="s">
        <v>40</v>
      </c>
      <c r="D313" s="7">
        <v>572</v>
      </c>
      <c r="E313" s="31">
        <v>115915</v>
      </c>
      <c r="F313" s="29"/>
      <c r="G313" s="32">
        <v>45876</v>
      </c>
      <c r="H313" s="29"/>
      <c r="I313" s="5" t="s">
        <v>48</v>
      </c>
      <c r="J313" s="5" t="s">
        <v>29</v>
      </c>
      <c r="K313" s="5"/>
      <c r="L313" t="s">
        <v>56</v>
      </c>
    </row>
    <row r="314" spans="1:12" ht="18.75" customHeight="1" x14ac:dyDescent="0.3">
      <c r="A314" s="30">
        <v>2355</v>
      </c>
      <c r="B314" s="29"/>
      <c r="C314" s="5" t="s">
        <v>40</v>
      </c>
      <c r="D314" s="7">
        <v>423</v>
      </c>
      <c r="E314" s="31">
        <v>115976</v>
      </c>
      <c r="F314" s="29"/>
      <c r="G314" s="32">
        <v>45905</v>
      </c>
      <c r="H314" s="29"/>
      <c r="I314" s="5" t="s">
        <v>48</v>
      </c>
      <c r="J314" s="5" t="s">
        <v>29</v>
      </c>
      <c r="K314" s="5"/>
      <c r="L314" t="s">
        <v>56</v>
      </c>
    </row>
    <row r="315" spans="1:12" ht="18.75" customHeight="1" x14ac:dyDescent="0.3">
      <c r="A315" s="30">
        <v>2356</v>
      </c>
      <c r="B315" s="29"/>
      <c r="C315" s="5" t="s">
        <v>40</v>
      </c>
      <c r="D315" s="7">
        <v>572</v>
      </c>
      <c r="E315" s="31">
        <v>115916</v>
      </c>
      <c r="F315" s="29"/>
      <c r="G315" s="32">
        <v>45876</v>
      </c>
      <c r="H315" s="29"/>
      <c r="I315" s="5" t="s">
        <v>50</v>
      </c>
      <c r="J315" s="5" t="s">
        <v>30</v>
      </c>
      <c r="K315" s="5"/>
      <c r="L315" t="s">
        <v>56</v>
      </c>
    </row>
    <row r="316" spans="1:12" ht="18.75" customHeight="1" x14ac:dyDescent="0.3">
      <c r="A316" s="30">
        <v>2357</v>
      </c>
      <c r="B316" s="29"/>
      <c r="C316" s="5" t="s">
        <v>61</v>
      </c>
      <c r="D316" s="7">
        <v>1</v>
      </c>
      <c r="E316" s="28" t="s">
        <v>62</v>
      </c>
      <c r="F316" s="29"/>
      <c r="G316" s="32">
        <v>45871</v>
      </c>
      <c r="H316" s="29"/>
      <c r="I316" s="5" t="s">
        <v>62</v>
      </c>
      <c r="J316" s="5" t="s">
        <v>62</v>
      </c>
      <c r="K316" s="5" t="s">
        <v>62</v>
      </c>
    </row>
    <row r="317" spans="1:12" ht="18.75" customHeight="1" x14ac:dyDescent="0.3">
      <c r="A317" s="30">
        <v>2358</v>
      </c>
      <c r="B317" s="29"/>
      <c r="C317" s="5" t="s">
        <v>61</v>
      </c>
      <c r="D317" s="7">
        <v>1</v>
      </c>
      <c r="E317" s="28" t="s">
        <v>62</v>
      </c>
      <c r="F317" s="29"/>
      <c r="G317" s="32">
        <v>45871</v>
      </c>
      <c r="H317" s="29"/>
      <c r="I317" s="5" t="s">
        <v>62</v>
      </c>
      <c r="J317" s="5" t="s">
        <v>62</v>
      </c>
      <c r="K317" s="5" t="s">
        <v>62</v>
      </c>
    </row>
    <row r="318" spans="1:12" ht="18.75" customHeight="1" x14ac:dyDescent="0.3">
      <c r="A318" s="30">
        <v>2359</v>
      </c>
      <c r="B318" s="29"/>
      <c r="C318" s="5" t="s">
        <v>14</v>
      </c>
      <c r="D318" s="7">
        <v>273</v>
      </c>
      <c r="E318" s="31">
        <v>40929</v>
      </c>
      <c r="F318" s="29"/>
      <c r="G318" s="32">
        <v>45901</v>
      </c>
      <c r="H318" s="29"/>
      <c r="I318" s="22" t="s">
        <v>19</v>
      </c>
      <c r="J318" s="22" t="s">
        <v>16</v>
      </c>
      <c r="K318" s="22" t="s">
        <v>52</v>
      </c>
      <c r="L318" t="s">
        <v>26</v>
      </c>
    </row>
    <row r="319" spans="1:12" ht="18.75" customHeight="1" x14ac:dyDescent="0.3">
      <c r="A319" s="30">
        <v>2360</v>
      </c>
      <c r="B319" s="29"/>
      <c r="C319" s="5" t="s">
        <v>14</v>
      </c>
      <c r="D319" s="7">
        <v>337</v>
      </c>
      <c r="E319" s="31">
        <v>31247</v>
      </c>
      <c r="F319" s="29"/>
      <c r="G319" s="32">
        <v>45908</v>
      </c>
      <c r="H319" s="29"/>
      <c r="I319" s="22" t="s">
        <v>19</v>
      </c>
      <c r="J319" s="22" t="s">
        <v>16</v>
      </c>
      <c r="K319" s="22" t="s">
        <v>52</v>
      </c>
      <c r="L319" t="s">
        <v>26</v>
      </c>
    </row>
    <row r="320" spans="1:12" ht="18.75" customHeight="1" x14ac:dyDescent="0.3">
      <c r="A320" s="30">
        <v>2361</v>
      </c>
      <c r="B320" s="29"/>
      <c r="C320" s="5" t="s">
        <v>14</v>
      </c>
      <c r="D320" s="7">
        <v>294</v>
      </c>
      <c r="E320" s="31">
        <v>29969</v>
      </c>
      <c r="F320" s="29"/>
      <c r="G320" s="32">
        <v>45910</v>
      </c>
      <c r="H320" s="29"/>
      <c r="I320" s="22" t="s">
        <v>19</v>
      </c>
      <c r="J320" s="22" t="s">
        <v>16</v>
      </c>
      <c r="K320" s="22" t="s">
        <v>52</v>
      </c>
      <c r="L320" t="s">
        <v>31</v>
      </c>
    </row>
    <row r="321" spans="1:13" ht="18.75" customHeight="1" x14ac:dyDescent="0.3">
      <c r="A321" s="30">
        <v>2362</v>
      </c>
      <c r="B321" s="29"/>
      <c r="C321" s="5" t="s">
        <v>14</v>
      </c>
      <c r="D321" s="7">
        <v>394</v>
      </c>
      <c r="E321" s="31">
        <v>29978</v>
      </c>
      <c r="F321" s="29"/>
      <c r="G321" s="32">
        <v>45912</v>
      </c>
      <c r="H321" s="29"/>
      <c r="I321" s="22" t="s">
        <v>19</v>
      </c>
      <c r="J321" s="22" t="s">
        <v>16</v>
      </c>
      <c r="K321" s="22" t="s">
        <v>52</v>
      </c>
      <c r="L321" t="s">
        <v>37</v>
      </c>
    </row>
    <row r="322" spans="1:13" ht="18.75" customHeight="1" x14ac:dyDescent="0.3">
      <c r="A322" s="30">
        <v>2363</v>
      </c>
      <c r="B322" s="29"/>
      <c r="C322" s="5" t="s">
        <v>14</v>
      </c>
      <c r="D322" s="7">
        <v>332</v>
      </c>
      <c r="E322" s="31">
        <v>29988</v>
      </c>
      <c r="F322" s="29"/>
      <c r="G322" s="32">
        <v>45913</v>
      </c>
      <c r="H322" s="29"/>
      <c r="I322" s="22" t="s">
        <v>19</v>
      </c>
      <c r="J322" s="22" t="s">
        <v>16</v>
      </c>
      <c r="K322" s="22" t="s">
        <v>52</v>
      </c>
      <c r="L322" t="s">
        <v>36</v>
      </c>
    </row>
    <row r="323" spans="1:13" ht="18.75" customHeight="1" x14ac:dyDescent="0.3">
      <c r="A323" s="30">
        <v>2364</v>
      </c>
      <c r="B323" s="29"/>
      <c r="C323" s="5" t="s">
        <v>14</v>
      </c>
      <c r="D323" s="7">
        <v>321</v>
      </c>
      <c r="E323" s="31">
        <v>29956</v>
      </c>
      <c r="F323" s="29"/>
      <c r="G323" s="32">
        <v>45909</v>
      </c>
      <c r="H323" s="29"/>
      <c r="I323" s="5" t="s">
        <v>15</v>
      </c>
      <c r="J323" s="5" t="s">
        <v>16</v>
      </c>
      <c r="K323" s="5" t="s">
        <v>17</v>
      </c>
      <c r="L323" t="s">
        <v>26</v>
      </c>
    </row>
    <row r="324" spans="1:13" ht="18.75" customHeight="1" x14ac:dyDescent="0.3">
      <c r="A324" s="30">
        <v>2365</v>
      </c>
      <c r="B324" s="29"/>
      <c r="C324" s="5" t="s">
        <v>14</v>
      </c>
      <c r="D324" s="7">
        <v>511</v>
      </c>
      <c r="E324" s="31">
        <v>29966</v>
      </c>
      <c r="F324" s="29"/>
      <c r="G324" s="32">
        <v>45910</v>
      </c>
      <c r="H324" s="29"/>
      <c r="I324" s="5" t="s">
        <v>15</v>
      </c>
      <c r="J324" s="5" t="s">
        <v>16</v>
      </c>
      <c r="K324" s="5" t="s">
        <v>17</v>
      </c>
      <c r="L324" t="s">
        <v>27</v>
      </c>
    </row>
    <row r="325" spans="1:13" ht="18.75" customHeight="1" x14ac:dyDescent="0.3">
      <c r="A325" s="30">
        <v>2366</v>
      </c>
      <c r="B325" s="29"/>
      <c r="C325" s="5" t="s">
        <v>14</v>
      </c>
      <c r="D325" s="7">
        <v>437</v>
      </c>
      <c r="E325" s="31">
        <v>29976</v>
      </c>
      <c r="F325" s="29"/>
      <c r="G325" s="32">
        <v>45912</v>
      </c>
      <c r="H325" s="29"/>
      <c r="I325" s="5" t="s">
        <v>15</v>
      </c>
      <c r="J325" s="5" t="s">
        <v>16</v>
      </c>
      <c r="K325" s="5" t="s">
        <v>17</v>
      </c>
      <c r="L325" t="s">
        <v>25</v>
      </c>
    </row>
    <row r="326" spans="1:13" ht="18.75" customHeight="1" x14ac:dyDescent="0.3">
      <c r="A326" s="30">
        <v>2367</v>
      </c>
      <c r="B326" s="29"/>
      <c r="C326" s="5" t="s">
        <v>14</v>
      </c>
      <c r="D326" s="7">
        <v>405</v>
      </c>
      <c r="E326" s="31">
        <v>29985</v>
      </c>
      <c r="F326" s="29"/>
      <c r="G326" s="32">
        <v>45913</v>
      </c>
      <c r="H326" s="29"/>
      <c r="I326" s="5" t="s">
        <v>15</v>
      </c>
      <c r="J326" s="5" t="s">
        <v>16</v>
      </c>
      <c r="K326" s="5" t="s">
        <v>17</v>
      </c>
      <c r="L326" t="s">
        <v>24</v>
      </c>
    </row>
    <row r="327" spans="1:13" ht="18.75" customHeight="1" x14ac:dyDescent="0.3">
      <c r="A327" s="30">
        <v>2368</v>
      </c>
      <c r="B327" s="29"/>
      <c r="C327" s="5" t="s">
        <v>40</v>
      </c>
      <c r="D327" s="7">
        <v>360</v>
      </c>
      <c r="E327" s="37">
        <v>139499</v>
      </c>
      <c r="F327" s="29"/>
      <c r="G327" s="32">
        <v>45907</v>
      </c>
      <c r="H327" s="29"/>
      <c r="I327" s="5" t="s">
        <v>63</v>
      </c>
      <c r="J327" s="5" t="s">
        <v>30</v>
      </c>
      <c r="K327" s="5"/>
      <c r="L327" t="s">
        <v>64</v>
      </c>
      <c r="M327" s="27">
        <v>1187</v>
      </c>
    </row>
    <row r="328" spans="1:13" ht="18.75" customHeight="1" x14ac:dyDescent="0.3">
      <c r="A328" s="30">
        <v>2369</v>
      </c>
      <c r="B328" s="29"/>
      <c r="C328" s="5" t="s">
        <v>40</v>
      </c>
      <c r="D328" s="7">
        <v>400</v>
      </c>
      <c r="E328" s="37">
        <v>139497</v>
      </c>
      <c r="F328" s="29"/>
      <c r="G328" s="32">
        <v>45907</v>
      </c>
      <c r="H328" s="29"/>
      <c r="I328" s="5" t="s">
        <v>63</v>
      </c>
      <c r="J328" s="5" t="s">
        <v>30</v>
      </c>
      <c r="K328" s="5"/>
      <c r="L328" t="s">
        <v>64</v>
      </c>
      <c r="M328" s="27">
        <v>1188</v>
      </c>
    </row>
    <row r="329" spans="1:13" ht="18.75" customHeight="1" x14ac:dyDescent="0.3">
      <c r="A329" s="30">
        <v>2370</v>
      </c>
      <c r="B329" s="29"/>
      <c r="C329" s="5" t="s">
        <v>40</v>
      </c>
      <c r="D329" s="7">
        <v>520</v>
      </c>
      <c r="E329" s="37">
        <v>142139</v>
      </c>
      <c r="F329" s="29"/>
      <c r="G329" s="32">
        <v>45908</v>
      </c>
      <c r="H329" s="29"/>
      <c r="I329" s="5" t="s">
        <v>63</v>
      </c>
      <c r="J329" s="5" t="s">
        <v>30</v>
      </c>
      <c r="K329" s="5"/>
      <c r="L329" t="s">
        <v>43</v>
      </c>
      <c r="M329" s="27">
        <v>1189</v>
      </c>
    </row>
    <row r="330" spans="1:13" ht="18.75" customHeight="1" x14ac:dyDescent="0.3">
      <c r="A330" s="30">
        <v>2371</v>
      </c>
      <c r="B330" s="29"/>
      <c r="C330" s="5" t="s">
        <v>40</v>
      </c>
      <c r="D330" s="7">
        <v>412</v>
      </c>
      <c r="E330" s="37">
        <v>139507</v>
      </c>
      <c r="F330" s="29"/>
      <c r="G330" s="32">
        <v>45910</v>
      </c>
      <c r="H330" s="29"/>
      <c r="I330" s="5" t="s">
        <v>63</v>
      </c>
      <c r="J330" s="5" t="s">
        <v>30</v>
      </c>
      <c r="K330" s="5"/>
      <c r="L330" t="s">
        <v>64</v>
      </c>
      <c r="M330" s="27">
        <v>1190</v>
      </c>
    </row>
    <row r="331" spans="1:13" ht="18.75" customHeight="1" x14ac:dyDescent="0.3">
      <c r="A331" s="30">
        <v>2372</v>
      </c>
      <c r="B331" s="29"/>
      <c r="C331" s="5" t="s">
        <v>40</v>
      </c>
      <c r="D331" s="7">
        <v>570</v>
      </c>
      <c r="E331" s="37">
        <v>139511</v>
      </c>
      <c r="F331" s="29"/>
      <c r="G331" s="32">
        <v>45911</v>
      </c>
      <c r="H331" s="29"/>
      <c r="I331" s="5" t="s">
        <v>63</v>
      </c>
      <c r="J331" s="5" t="s">
        <v>30</v>
      </c>
      <c r="K331" s="5"/>
      <c r="L331" t="s">
        <v>64</v>
      </c>
      <c r="M331" s="27">
        <v>1191</v>
      </c>
    </row>
    <row r="332" spans="1:13" ht="18.75" customHeight="1" x14ac:dyDescent="0.3">
      <c r="A332" s="30">
        <v>2373</v>
      </c>
      <c r="B332" s="29"/>
      <c r="C332" s="5" t="s">
        <v>40</v>
      </c>
      <c r="D332" s="7">
        <v>520</v>
      </c>
      <c r="E332" s="37">
        <v>138511</v>
      </c>
      <c r="F332" s="29"/>
      <c r="G332" s="32">
        <v>45912</v>
      </c>
      <c r="H332" s="29"/>
      <c r="I332" s="5" t="s">
        <v>63</v>
      </c>
      <c r="J332" s="5" t="s">
        <v>30</v>
      </c>
      <c r="K332" s="5"/>
      <c r="L332" t="s">
        <v>43</v>
      </c>
      <c r="M332" s="27">
        <v>1192</v>
      </c>
    </row>
    <row r="333" spans="1:13" ht="18.75" customHeight="1" x14ac:dyDescent="0.3">
      <c r="A333" s="30">
        <v>2374</v>
      </c>
      <c r="B333" s="29"/>
      <c r="C333" s="5" t="s">
        <v>40</v>
      </c>
      <c r="D333" s="7">
        <v>350</v>
      </c>
      <c r="E333" s="37">
        <v>135840</v>
      </c>
      <c r="F333" s="29"/>
      <c r="G333" s="32">
        <v>45907</v>
      </c>
      <c r="H333" s="29"/>
      <c r="I333" s="5" t="s">
        <v>65</v>
      </c>
      <c r="J333" s="5" t="s">
        <v>66</v>
      </c>
      <c r="K333" s="5"/>
      <c r="L333" t="s">
        <v>44</v>
      </c>
      <c r="M333" s="27">
        <v>1193</v>
      </c>
    </row>
    <row r="334" spans="1:13" ht="18.75" customHeight="1" x14ac:dyDescent="0.3">
      <c r="A334" s="30">
        <v>2375</v>
      </c>
      <c r="B334" s="29"/>
      <c r="C334" s="5" t="s">
        <v>40</v>
      </c>
      <c r="D334" s="7">
        <v>320</v>
      </c>
      <c r="E334" s="37">
        <v>139500</v>
      </c>
      <c r="F334" s="29"/>
      <c r="G334" s="32">
        <v>45908</v>
      </c>
      <c r="H334" s="29"/>
      <c r="I334" s="5" t="s">
        <v>65</v>
      </c>
      <c r="J334" s="5" t="s">
        <v>66</v>
      </c>
      <c r="K334" s="5"/>
      <c r="L334" t="s">
        <v>64</v>
      </c>
      <c r="M334" s="27">
        <v>1194</v>
      </c>
    </row>
    <row r="335" spans="1:13" ht="18.75" customHeight="1" x14ac:dyDescent="0.3">
      <c r="A335" s="30">
        <v>2376</v>
      </c>
      <c r="B335" s="29"/>
      <c r="C335" s="5" t="s">
        <v>40</v>
      </c>
      <c r="D335" s="7">
        <v>336</v>
      </c>
      <c r="E335" s="37">
        <v>139504</v>
      </c>
      <c r="F335" s="29"/>
      <c r="G335" s="32">
        <v>45909</v>
      </c>
      <c r="H335" s="29"/>
      <c r="I335" s="5" t="s">
        <v>65</v>
      </c>
      <c r="J335" s="5" t="s">
        <v>66</v>
      </c>
      <c r="K335" s="5"/>
      <c r="L335" t="s">
        <v>64</v>
      </c>
      <c r="M335" s="27">
        <v>1195</v>
      </c>
    </row>
    <row r="336" spans="1:13" ht="18.75" customHeight="1" x14ac:dyDescent="0.3">
      <c r="A336" s="30">
        <v>2377</v>
      </c>
      <c r="B336" s="29"/>
      <c r="C336" s="5" t="s">
        <v>40</v>
      </c>
      <c r="D336" s="7">
        <v>520</v>
      </c>
      <c r="E336" s="37">
        <v>142142</v>
      </c>
      <c r="F336" s="29"/>
      <c r="G336" s="32">
        <v>45910</v>
      </c>
      <c r="H336" s="29"/>
      <c r="I336" s="5" t="s">
        <v>65</v>
      </c>
      <c r="J336" s="5" t="s">
        <v>66</v>
      </c>
      <c r="K336" s="5"/>
      <c r="L336" t="s">
        <v>43</v>
      </c>
      <c r="M336" s="27">
        <v>1196</v>
      </c>
    </row>
    <row r="337" spans="1:13" ht="18.75" customHeight="1" x14ac:dyDescent="0.3">
      <c r="A337" s="30">
        <v>2378</v>
      </c>
      <c r="B337" s="29"/>
      <c r="C337" s="5" t="s">
        <v>40</v>
      </c>
      <c r="D337" s="7">
        <v>399</v>
      </c>
      <c r="E337" s="37">
        <v>139515</v>
      </c>
      <c r="F337" s="29"/>
      <c r="G337" s="32">
        <v>45912</v>
      </c>
      <c r="H337" s="29"/>
      <c r="I337" s="5" t="s">
        <v>65</v>
      </c>
      <c r="J337" s="5" t="s">
        <v>66</v>
      </c>
      <c r="K337" s="5"/>
      <c r="L337" t="s">
        <v>64</v>
      </c>
      <c r="M337" s="27">
        <v>1197</v>
      </c>
    </row>
    <row r="338" spans="1:13" ht="18.75" customHeight="1" x14ac:dyDescent="0.3">
      <c r="A338" s="30">
        <v>2379</v>
      </c>
      <c r="B338" s="29"/>
      <c r="C338" s="5" t="s">
        <v>40</v>
      </c>
      <c r="D338" s="7">
        <v>344</v>
      </c>
      <c r="E338" s="37">
        <v>139519</v>
      </c>
      <c r="F338" s="29"/>
      <c r="G338" s="32">
        <v>45913</v>
      </c>
      <c r="H338" s="29"/>
      <c r="I338" s="5" t="s">
        <v>65</v>
      </c>
      <c r="J338" s="5" t="s">
        <v>66</v>
      </c>
      <c r="K338" s="5"/>
      <c r="L338" t="s">
        <v>64</v>
      </c>
      <c r="M338" s="27">
        <v>1198</v>
      </c>
    </row>
    <row r="339" spans="1:13" ht="18.75" customHeight="1" x14ac:dyDescent="0.3">
      <c r="A339" s="30">
        <v>2380</v>
      </c>
      <c r="B339" s="29"/>
      <c r="C339" s="5" t="s">
        <v>40</v>
      </c>
      <c r="D339" s="7">
        <v>400</v>
      </c>
      <c r="E339" s="31">
        <v>139523</v>
      </c>
      <c r="F339" s="29"/>
      <c r="G339" s="32">
        <v>45911</v>
      </c>
      <c r="H339" s="29"/>
      <c r="I339" s="5" t="s">
        <v>63</v>
      </c>
      <c r="J339" s="5" t="s">
        <v>30</v>
      </c>
      <c r="K339" s="5"/>
      <c r="L339" t="s">
        <v>64</v>
      </c>
      <c r="M339" s="27">
        <v>1199</v>
      </c>
    </row>
    <row r="340" spans="1:13" ht="18.75" customHeight="1" x14ac:dyDescent="0.3">
      <c r="A340" s="30">
        <v>2381</v>
      </c>
      <c r="B340" s="29"/>
      <c r="C340" s="5" t="s">
        <v>40</v>
      </c>
      <c r="D340" s="7">
        <v>368</v>
      </c>
      <c r="E340" s="31">
        <v>142169</v>
      </c>
      <c r="F340" s="29"/>
      <c r="G340" s="32">
        <v>45914</v>
      </c>
      <c r="H340" s="29"/>
      <c r="I340" s="5" t="s">
        <v>63</v>
      </c>
      <c r="J340" s="5" t="s">
        <v>30</v>
      </c>
      <c r="K340" s="5"/>
      <c r="L340" t="s">
        <v>67</v>
      </c>
      <c r="M340" s="27">
        <v>1200</v>
      </c>
    </row>
    <row r="341" spans="1:13" ht="18.75" customHeight="1" x14ac:dyDescent="0.3">
      <c r="A341" s="30">
        <v>2382</v>
      </c>
      <c r="B341" s="29"/>
      <c r="C341" s="5" t="s">
        <v>40</v>
      </c>
      <c r="D341" s="7">
        <v>400</v>
      </c>
      <c r="E341" s="31">
        <v>139528</v>
      </c>
      <c r="F341" s="29"/>
      <c r="G341" s="32">
        <v>45916</v>
      </c>
      <c r="H341" s="29"/>
      <c r="I341" s="5" t="s">
        <v>63</v>
      </c>
      <c r="J341" s="5" t="s">
        <v>30</v>
      </c>
      <c r="K341" s="5"/>
      <c r="L341" t="s">
        <v>64</v>
      </c>
      <c r="M341" s="27">
        <v>1201</v>
      </c>
    </row>
    <row r="342" spans="1:13" ht="18.75" customHeight="1" x14ac:dyDescent="0.3">
      <c r="A342" s="30">
        <v>2383</v>
      </c>
      <c r="B342" s="29"/>
      <c r="C342" s="5" t="s">
        <v>40</v>
      </c>
      <c r="D342" s="7">
        <v>520</v>
      </c>
      <c r="E342" s="31">
        <v>138517</v>
      </c>
      <c r="F342" s="29"/>
      <c r="G342" s="32">
        <v>45917</v>
      </c>
      <c r="H342" s="29"/>
      <c r="I342" s="5" t="s">
        <v>63</v>
      </c>
      <c r="J342" s="5" t="s">
        <v>30</v>
      </c>
      <c r="K342" s="5"/>
      <c r="L342" t="s">
        <v>43</v>
      </c>
      <c r="M342" s="27">
        <v>1202</v>
      </c>
    </row>
    <row r="343" spans="1:13" ht="18.75" customHeight="1" x14ac:dyDescent="0.3">
      <c r="A343" s="30">
        <v>2384</v>
      </c>
      <c r="B343" s="29"/>
      <c r="C343" s="5" t="s">
        <v>40</v>
      </c>
      <c r="D343" s="7">
        <v>476</v>
      </c>
      <c r="E343" s="31">
        <v>142202</v>
      </c>
      <c r="F343" s="29"/>
      <c r="G343" s="32">
        <v>45918</v>
      </c>
      <c r="H343" s="29"/>
      <c r="I343" s="5" t="s">
        <v>63</v>
      </c>
      <c r="J343" s="5" t="s">
        <v>30</v>
      </c>
      <c r="K343" s="5"/>
      <c r="L343" t="s">
        <v>57</v>
      </c>
      <c r="M343" s="27">
        <v>1203</v>
      </c>
    </row>
    <row r="344" spans="1:13" ht="18.75" customHeight="1" x14ac:dyDescent="0.3">
      <c r="A344" s="30">
        <v>2385</v>
      </c>
      <c r="B344" s="29"/>
      <c r="C344" s="5" t="s">
        <v>40</v>
      </c>
      <c r="D344" s="7">
        <v>604</v>
      </c>
      <c r="E344" s="31">
        <v>142174</v>
      </c>
      <c r="F344" s="29"/>
      <c r="G344" s="32">
        <v>45919</v>
      </c>
      <c r="H344" s="29"/>
      <c r="I344" s="5" t="s">
        <v>63</v>
      </c>
      <c r="J344" s="5" t="s">
        <v>30</v>
      </c>
      <c r="K344" s="5"/>
      <c r="L344" t="s">
        <v>67</v>
      </c>
      <c r="M344" s="27">
        <v>1204</v>
      </c>
    </row>
    <row r="345" spans="1:13" ht="18.75" customHeight="1" x14ac:dyDescent="0.3">
      <c r="A345" s="30">
        <v>2386</v>
      </c>
      <c r="B345" s="29"/>
      <c r="C345" s="5" t="s">
        <v>40</v>
      </c>
      <c r="D345" s="7">
        <v>521</v>
      </c>
      <c r="E345" s="31">
        <v>138520</v>
      </c>
      <c r="F345" s="29"/>
      <c r="G345" s="32">
        <v>45919</v>
      </c>
      <c r="H345" s="29"/>
      <c r="I345" s="5" t="s">
        <v>63</v>
      </c>
      <c r="J345" s="5" t="s">
        <v>30</v>
      </c>
      <c r="K345" s="5"/>
      <c r="L345" t="s">
        <v>43</v>
      </c>
      <c r="M345" s="27">
        <v>1205</v>
      </c>
    </row>
    <row r="346" spans="1:13" ht="18.75" customHeight="1" x14ac:dyDescent="0.3">
      <c r="A346" s="30">
        <v>2387</v>
      </c>
      <c r="B346" s="29"/>
      <c r="C346" s="5" t="s">
        <v>40</v>
      </c>
      <c r="D346" s="7">
        <v>385</v>
      </c>
      <c r="E346" s="31">
        <v>135849</v>
      </c>
      <c r="F346" s="29"/>
      <c r="G346" s="32">
        <v>45913</v>
      </c>
      <c r="H346" s="29"/>
      <c r="I346" s="5" t="s">
        <v>65</v>
      </c>
      <c r="J346" s="5" t="s">
        <v>66</v>
      </c>
      <c r="K346" s="5"/>
      <c r="L346" t="s">
        <v>57</v>
      </c>
      <c r="M346" s="27">
        <v>1206</v>
      </c>
    </row>
    <row r="347" spans="1:13" ht="18.75" customHeight="1" x14ac:dyDescent="0.3">
      <c r="A347" s="30">
        <v>2388</v>
      </c>
      <c r="B347" s="29"/>
      <c r="C347" s="5" t="s">
        <v>40</v>
      </c>
      <c r="D347" s="7">
        <v>400</v>
      </c>
      <c r="E347" s="31">
        <v>139524</v>
      </c>
      <c r="F347" s="29"/>
      <c r="G347" s="32">
        <v>45914</v>
      </c>
      <c r="H347" s="29"/>
      <c r="I347" s="5" t="s">
        <v>65</v>
      </c>
      <c r="J347" s="5" t="s">
        <v>66</v>
      </c>
      <c r="K347" s="5"/>
      <c r="L347" t="s">
        <v>64</v>
      </c>
      <c r="M347" s="27">
        <v>1207</v>
      </c>
    </row>
    <row r="348" spans="1:13" ht="18.75" customHeight="1" x14ac:dyDescent="0.3">
      <c r="A348" s="30">
        <v>2389</v>
      </c>
      <c r="B348" s="29"/>
      <c r="C348" s="5" t="s">
        <v>40</v>
      </c>
      <c r="D348" s="7">
        <v>400</v>
      </c>
      <c r="E348" s="31">
        <v>142170</v>
      </c>
      <c r="F348" s="29"/>
      <c r="G348" s="32">
        <v>45914</v>
      </c>
      <c r="H348" s="29"/>
      <c r="I348" s="5" t="s">
        <v>65</v>
      </c>
      <c r="J348" s="5" t="s">
        <v>66</v>
      </c>
      <c r="K348" s="5"/>
      <c r="L348" t="s">
        <v>67</v>
      </c>
      <c r="M348" s="27">
        <v>1208</v>
      </c>
    </row>
    <row r="349" spans="1:13" ht="18.75" customHeight="1" x14ac:dyDescent="0.3">
      <c r="A349" s="30">
        <v>2390</v>
      </c>
      <c r="B349" s="29"/>
      <c r="C349" s="5" t="s">
        <v>40</v>
      </c>
      <c r="D349" s="7">
        <v>368</v>
      </c>
      <c r="E349" s="31">
        <v>139532</v>
      </c>
      <c r="F349" s="29"/>
      <c r="G349" s="32">
        <v>45917</v>
      </c>
      <c r="H349" s="29"/>
      <c r="I349" s="5" t="s">
        <v>65</v>
      </c>
      <c r="J349" s="5" t="s">
        <v>66</v>
      </c>
      <c r="K349" s="5"/>
      <c r="L349" t="s">
        <v>64</v>
      </c>
      <c r="M349" s="27">
        <v>1209</v>
      </c>
    </row>
    <row r="350" spans="1:13" ht="18.75" customHeight="1" x14ac:dyDescent="0.3">
      <c r="A350" s="30">
        <v>2391</v>
      </c>
      <c r="B350" s="29"/>
      <c r="C350" s="5" t="s">
        <v>40</v>
      </c>
      <c r="D350" s="7">
        <v>470</v>
      </c>
      <c r="E350" s="31">
        <v>138518</v>
      </c>
      <c r="F350" s="29"/>
      <c r="G350" s="32">
        <v>45918</v>
      </c>
      <c r="H350" s="29"/>
      <c r="I350" s="5" t="s">
        <v>65</v>
      </c>
      <c r="J350" s="5" t="s">
        <v>66</v>
      </c>
      <c r="K350" s="5"/>
      <c r="L350" t="s">
        <v>43</v>
      </c>
      <c r="M350" s="27">
        <v>1210</v>
      </c>
    </row>
    <row r="351" spans="1:13" ht="18.75" customHeight="1" x14ac:dyDescent="0.3">
      <c r="A351" s="30">
        <v>2392</v>
      </c>
      <c r="B351" s="29"/>
      <c r="C351" s="5" t="s">
        <v>40</v>
      </c>
      <c r="D351" s="7">
        <v>518</v>
      </c>
      <c r="E351" s="31">
        <v>139536</v>
      </c>
      <c r="F351" s="29"/>
      <c r="G351" s="32">
        <v>45918</v>
      </c>
      <c r="H351" s="29"/>
      <c r="I351" s="5" t="s">
        <v>65</v>
      </c>
      <c r="J351" s="5" t="s">
        <v>66</v>
      </c>
      <c r="K351" s="5"/>
      <c r="L351" t="s">
        <v>64</v>
      </c>
      <c r="M351" s="27">
        <v>1211</v>
      </c>
    </row>
    <row r="352" spans="1:13" ht="18.75" customHeight="1" x14ac:dyDescent="0.3">
      <c r="A352" s="30">
        <v>2393</v>
      </c>
      <c r="B352" s="29"/>
      <c r="C352" s="5" t="s">
        <v>40</v>
      </c>
      <c r="D352" s="7">
        <v>380</v>
      </c>
      <c r="E352" s="31">
        <v>139544</v>
      </c>
      <c r="F352" s="29"/>
      <c r="G352" s="32">
        <v>45918</v>
      </c>
      <c r="H352" s="29"/>
      <c r="I352" s="5" t="s">
        <v>65</v>
      </c>
      <c r="J352" s="5" t="s">
        <v>66</v>
      </c>
      <c r="K352" s="5"/>
      <c r="L352" t="s">
        <v>64</v>
      </c>
      <c r="M352" s="27">
        <v>1212</v>
      </c>
    </row>
    <row r="353" spans="1:12" ht="18.75" customHeight="1" x14ac:dyDescent="0.3">
      <c r="A353" s="30">
        <v>2394</v>
      </c>
      <c r="B353" s="29"/>
      <c r="C353" s="5" t="s">
        <v>14</v>
      </c>
      <c r="D353" s="7">
        <v>252</v>
      </c>
      <c r="E353" s="31">
        <v>29996</v>
      </c>
      <c r="F353" s="29"/>
      <c r="G353" s="32">
        <v>45914</v>
      </c>
      <c r="H353" s="29"/>
      <c r="I353" s="22" t="s">
        <v>19</v>
      </c>
      <c r="J353" s="22" t="s">
        <v>16</v>
      </c>
      <c r="K353" s="22" t="s">
        <v>52</v>
      </c>
      <c r="L353" t="s">
        <v>53</v>
      </c>
    </row>
    <row r="354" spans="1:12" ht="18.75" customHeight="1" x14ac:dyDescent="0.3">
      <c r="A354" s="30">
        <v>2395</v>
      </c>
      <c r="B354" s="29"/>
      <c r="C354" s="5" t="s">
        <v>14</v>
      </c>
      <c r="D354" s="7">
        <v>326</v>
      </c>
      <c r="E354" s="31">
        <v>31728</v>
      </c>
      <c r="F354" s="29"/>
      <c r="G354" s="32">
        <v>45915</v>
      </c>
      <c r="H354" s="29"/>
      <c r="I354" s="22" t="s">
        <v>19</v>
      </c>
      <c r="J354" s="22" t="s">
        <v>16</v>
      </c>
      <c r="K354" s="22" t="s">
        <v>52</v>
      </c>
      <c r="L354" t="s">
        <v>27</v>
      </c>
    </row>
    <row r="355" spans="1:12" ht="18.75" customHeight="1" x14ac:dyDescent="0.3">
      <c r="A355" s="30">
        <v>2396</v>
      </c>
      <c r="B355" s="29"/>
      <c r="C355" s="5" t="s">
        <v>14</v>
      </c>
      <c r="D355" s="7">
        <v>339</v>
      </c>
      <c r="E355" s="31">
        <v>31737</v>
      </c>
      <c r="F355" s="29"/>
      <c r="G355" s="32">
        <v>45916</v>
      </c>
      <c r="H355" s="29"/>
      <c r="I355" s="22" t="s">
        <v>19</v>
      </c>
      <c r="J355" s="22" t="s">
        <v>16</v>
      </c>
      <c r="K355" s="22" t="s">
        <v>52</v>
      </c>
      <c r="L355" t="s">
        <v>26</v>
      </c>
    </row>
    <row r="356" spans="1:12" ht="18.75" customHeight="1" x14ac:dyDescent="0.3">
      <c r="A356" s="30">
        <v>2397</v>
      </c>
      <c r="B356" s="29"/>
      <c r="C356" s="5" t="s">
        <v>14</v>
      </c>
      <c r="D356" s="7">
        <v>267</v>
      </c>
      <c r="E356" s="31">
        <v>29911</v>
      </c>
      <c r="F356" s="29"/>
      <c r="G356" s="32">
        <v>45918</v>
      </c>
      <c r="H356" s="29"/>
      <c r="I356" s="22" t="s">
        <v>19</v>
      </c>
      <c r="J356" s="22" t="s">
        <v>16</v>
      </c>
      <c r="K356" s="22" t="s">
        <v>52</v>
      </c>
      <c r="L356" t="s">
        <v>26</v>
      </c>
    </row>
    <row r="357" spans="1:12" ht="18.75" customHeight="1" x14ac:dyDescent="0.3">
      <c r="A357" s="30">
        <v>2398</v>
      </c>
      <c r="B357" s="29"/>
      <c r="C357" s="5" t="s">
        <v>14</v>
      </c>
      <c r="D357" s="7">
        <v>292</v>
      </c>
      <c r="E357" s="31">
        <v>29927</v>
      </c>
      <c r="F357" s="29"/>
      <c r="G357" s="32">
        <v>45919</v>
      </c>
      <c r="H357" s="29"/>
      <c r="I357" s="22" t="s">
        <v>19</v>
      </c>
      <c r="J357" s="22" t="s">
        <v>16</v>
      </c>
      <c r="K357" s="22" t="s">
        <v>52</v>
      </c>
      <c r="L357" t="s">
        <v>39</v>
      </c>
    </row>
    <row r="358" spans="1:12" ht="18.75" customHeight="1" x14ac:dyDescent="0.3">
      <c r="A358" s="30">
        <v>2399</v>
      </c>
      <c r="B358" s="29"/>
      <c r="C358" s="5" t="s">
        <v>14</v>
      </c>
      <c r="D358" s="7">
        <v>274</v>
      </c>
      <c r="E358" s="31">
        <v>29934</v>
      </c>
      <c r="F358" s="29"/>
      <c r="G358" s="32">
        <v>45920</v>
      </c>
      <c r="H358" s="29"/>
      <c r="I358" s="22" t="s">
        <v>19</v>
      </c>
      <c r="J358" s="22" t="s">
        <v>16</v>
      </c>
      <c r="K358" s="22" t="s">
        <v>52</v>
      </c>
      <c r="L358" t="s">
        <v>26</v>
      </c>
    </row>
    <row r="359" spans="1:12" ht="18.75" customHeight="1" x14ac:dyDescent="0.3">
      <c r="A359" s="30">
        <v>2400</v>
      </c>
      <c r="B359" s="29"/>
      <c r="C359" s="5" t="s">
        <v>14</v>
      </c>
      <c r="D359" s="7">
        <v>507</v>
      </c>
      <c r="E359" s="31">
        <v>31729</v>
      </c>
      <c r="F359" s="29"/>
      <c r="G359" s="32">
        <v>45915</v>
      </c>
      <c r="H359" s="29"/>
      <c r="I359" s="5" t="s">
        <v>15</v>
      </c>
      <c r="J359" s="5" t="s">
        <v>16</v>
      </c>
      <c r="K359" s="5" t="s">
        <v>17</v>
      </c>
      <c r="L359" t="s">
        <v>25</v>
      </c>
    </row>
    <row r="360" spans="1:12" ht="18.75" customHeight="1" x14ac:dyDescent="0.3">
      <c r="A360" s="30">
        <v>2401</v>
      </c>
      <c r="B360" s="29"/>
      <c r="C360" s="5" t="s">
        <v>14</v>
      </c>
      <c r="D360" s="7">
        <v>505</v>
      </c>
      <c r="E360" s="31">
        <v>31740</v>
      </c>
      <c r="F360" s="29"/>
      <c r="G360" s="32">
        <v>45916</v>
      </c>
      <c r="H360" s="29"/>
      <c r="I360" s="5" t="s">
        <v>15</v>
      </c>
      <c r="J360" s="5" t="s">
        <v>16</v>
      </c>
      <c r="K360" s="5" t="s">
        <v>17</v>
      </c>
      <c r="L360" t="s">
        <v>31</v>
      </c>
    </row>
    <row r="361" spans="1:12" ht="18.75" customHeight="1" x14ac:dyDescent="0.3">
      <c r="A361" s="30">
        <v>2402</v>
      </c>
      <c r="B361" s="29"/>
      <c r="C361" s="5" t="s">
        <v>14</v>
      </c>
      <c r="D361" s="7">
        <v>504</v>
      </c>
      <c r="E361" s="31">
        <v>31747</v>
      </c>
      <c r="F361" s="29"/>
      <c r="G361" s="32">
        <v>45917</v>
      </c>
      <c r="H361" s="29"/>
      <c r="I361" s="5" t="s">
        <v>15</v>
      </c>
      <c r="J361" s="5" t="s">
        <v>16</v>
      </c>
      <c r="K361" s="5" t="s">
        <v>17</v>
      </c>
      <c r="L361" t="s">
        <v>47</v>
      </c>
    </row>
    <row r="362" spans="1:12" ht="18.75" customHeight="1" x14ac:dyDescent="0.3">
      <c r="A362" s="30">
        <v>2403</v>
      </c>
      <c r="B362" s="29"/>
      <c r="C362" s="5" t="s">
        <v>14</v>
      </c>
      <c r="D362" s="7">
        <v>317</v>
      </c>
      <c r="E362" s="31">
        <v>29914</v>
      </c>
      <c r="F362" s="29"/>
      <c r="G362" s="32">
        <v>45918</v>
      </c>
      <c r="H362" s="29"/>
      <c r="I362" s="5" t="s">
        <v>15</v>
      </c>
      <c r="J362" s="5" t="s">
        <v>16</v>
      </c>
      <c r="K362" s="5" t="s">
        <v>17</v>
      </c>
      <c r="L362" t="s">
        <v>36</v>
      </c>
    </row>
    <row r="363" spans="1:12" ht="18.75" customHeight="1" x14ac:dyDescent="0.3">
      <c r="A363" s="30">
        <v>2404</v>
      </c>
      <c r="B363" s="29"/>
      <c r="C363" s="5" t="s">
        <v>14</v>
      </c>
      <c r="D363" s="7">
        <v>458</v>
      </c>
      <c r="E363" s="31">
        <v>29921</v>
      </c>
      <c r="F363" s="29"/>
      <c r="G363" s="32">
        <v>45919</v>
      </c>
      <c r="H363" s="29"/>
      <c r="I363" s="5" t="s">
        <v>15</v>
      </c>
      <c r="J363" s="5" t="s">
        <v>16</v>
      </c>
      <c r="K363" s="5" t="s">
        <v>17</v>
      </c>
      <c r="L363" t="s">
        <v>27</v>
      </c>
    </row>
    <row r="364" spans="1:12" ht="18.75" customHeight="1" x14ac:dyDescent="0.3">
      <c r="A364" s="30">
        <v>2405</v>
      </c>
      <c r="B364" s="29"/>
      <c r="C364" s="5" t="s">
        <v>14</v>
      </c>
      <c r="D364" s="7">
        <v>510</v>
      </c>
      <c r="E364" s="31">
        <v>29935</v>
      </c>
      <c r="F364" s="29"/>
      <c r="G364" s="32">
        <v>45920</v>
      </c>
      <c r="H364" s="29"/>
      <c r="I364" s="5" t="s">
        <v>15</v>
      </c>
      <c r="J364" s="5" t="s">
        <v>16</v>
      </c>
      <c r="K364" s="5" t="s">
        <v>17</v>
      </c>
      <c r="L364" t="s">
        <v>24</v>
      </c>
    </row>
    <row r="365" spans="1:12" ht="18.75" customHeight="1" x14ac:dyDescent="0.3">
      <c r="A365" s="30">
        <v>2406</v>
      </c>
      <c r="B365" s="29"/>
      <c r="C365" s="5" t="s">
        <v>14</v>
      </c>
      <c r="D365" s="7">
        <v>294</v>
      </c>
      <c r="E365" s="31">
        <v>31408</v>
      </c>
      <c r="F365" s="29"/>
      <c r="G365" s="32">
        <v>45922</v>
      </c>
      <c r="H365" s="29"/>
      <c r="I365" s="22" t="s">
        <v>19</v>
      </c>
      <c r="J365" s="22" t="s">
        <v>16</v>
      </c>
      <c r="K365" s="22" t="s">
        <v>52</v>
      </c>
      <c r="L365" t="s">
        <v>38</v>
      </c>
    </row>
    <row r="366" spans="1:12" ht="18.75" customHeight="1" x14ac:dyDescent="0.3">
      <c r="A366" s="30">
        <v>2407</v>
      </c>
      <c r="B366" s="29"/>
      <c r="C366" s="5" t="s">
        <v>14</v>
      </c>
      <c r="D366" s="7">
        <v>276</v>
      </c>
      <c r="E366" s="31">
        <v>31411</v>
      </c>
      <c r="F366" s="29"/>
      <c r="G366" s="32">
        <v>45923</v>
      </c>
      <c r="H366" s="29"/>
      <c r="I366" s="22" t="s">
        <v>19</v>
      </c>
      <c r="J366" s="22" t="s">
        <v>16</v>
      </c>
      <c r="K366" s="22" t="s">
        <v>52</v>
      </c>
      <c r="L366" t="s">
        <v>26</v>
      </c>
    </row>
    <row r="367" spans="1:12" ht="18.75" customHeight="1" x14ac:dyDescent="0.3">
      <c r="A367" s="30">
        <v>2408</v>
      </c>
      <c r="B367" s="29"/>
      <c r="C367" s="5" t="s">
        <v>14</v>
      </c>
      <c r="D367" s="7">
        <v>340</v>
      </c>
      <c r="E367" s="31">
        <v>31421</v>
      </c>
      <c r="F367" s="29"/>
      <c r="G367" s="32">
        <v>45924</v>
      </c>
      <c r="H367" s="29"/>
      <c r="I367" s="22" t="s">
        <v>19</v>
      </c>
      <c r="J367" s="22" t="s">
        <v>16</v>
      </c>
      <c r="K367" s="22" t="s">
        <v>52</v>
      </c>
      <c r="L367" t="s">
        <v>47</v>
      </c>
    </row>
    <row r="368" spans="1:12" ht="18.75" customHeight="1" x14ac:dyDescent="0.3">
      <c r="A368" s="30">
        <v>2409</v>
      </c>
      <c r="B368" s="29"/>
      <c r="C368" s="5" t="s">
        <v>14</v>
      </c>
      <c r="D368" s="7">
        <v>325</v>
      </c>
      <c r="E368" s="28" t="s">
        <v>68</v>
      </c>
      <c r="F368" s="29"/>
      <c r="G368" s="32">
        <v>45925</v>
      </c>
      <c r="H368" s="29"/>
      <c r="I368" s="22" t="s">
        <v>19</v>
      </c>
      <c r="J368" s="22" t="s">
        <v>16</v>
      </c>
      <c r="K368" s="22" t="s">
        <v>52</v>
      </c>
      <c r="L368" t="s">
        <v>47</v>
      </c>
    </row>
    <row r="369" spans="1:12" ht="18.75" customHeight="1" x14ac:dyDescent="0.3">
      <c r="A369" s="30">
        <v>2410</v>
      </c>
      <c r="B369" s="29"/>
      <c r="C369" s="5" t="s">
        <v>14</v>
      </c>
      <c r="D369" s="7">
        <v>299</v>
      </c>
      <c r="E369" s="31">
        <v>31439</v>
      </c>
      <c r="F369" s="29"/>
      <c r="G369" s="32">
        <v>45926</v>
      </c>
      <c r="H369" s="29"/>
      <c r="I369" s="22" t="s">
        <v>19</v>
      </c>
      <c r="J369" s="22" t="s">
        <v>16</v>
      </c>
      <c r="K369" s="22" t="s">
        <v>52</v>
      </c>
      <c r="L369" t="s">
        <v>26</v>
      </c>
    </row>
    <row r="370" spans="1:12" ht="18.75" customHeight="1" x14ac:dyDescent="0.3">
      <c r="A370" s="30">
        <v>2411</v>
      </c>
      <c r="B370" s="29"/>
      <c r="C370" s="5" t="s">
        <v>14</v>
      </c>
      <c r="D370" s="7">
        <v>365</v>
      </c>
      <c r="E370" s="31">
        <v>31447</v>
      </c>
      <c r="F370" s="29"/>
      <c r="G370" s="32">
        <v>45927</v>
      </c>
      <c r="H370" s="29"/>
      <c r="I370" s="22" t="s">
        <v>19</v>
      </c>
      <c r="J370" s="22" t="s">
        <v>16</v>
      </c>
      <c r="K370" s="22" t="s">
        <v>52</v>
      </c>
      <c r="L370" t="s">
        <v>51</v>
      </c>
    </row>
    <row r="371" spans="1:12" ht="18.75" customHeight="1" x14ac:dyDescent="0.3">
      <c r="A371" s="30">
        <v>2412</v>
      </c>
      <c r="B371" s="29"/>
      <c r="C371" s="5" t="s">
        <v>14</v>
      </c>
      <c r="D371" s="7">
        <v>389</v>
      </c>
      <c r="E371" s="31">
        <v>31401</v>
      </c>
      <c r="F371" s="29"/>
      <c r="G371" s="32">
        <v>45922</v>
      </c>
      <c r="H371" s="29"/>
      <c r="I371" s="5" t="s">
        <v>15</v>
      </c>
      <c r="J371" s="5" t="s">
        <v>16</v>
      </c>
      <c r="K371" s="5" t="s">
        <v>17</v>
      </c>
      <c r="L371" t="s">
        <v>26</v>
      </c>
    </row>
    <row r="372" spans="1:12" ht="18.75" customHeight="1" x14ac:dyDescent="0.3">
      <c r="A372" s="30">
        <v>2413</v>
      </c>
      <c r="B372" s="29"/>
      <c r="C372" s="5" t="s">
        <v>14</v>
      </c>
      <c r="D372" s="7">
        <v>599</v>
      </c>
      <c r="E372" s="31">
        <v>31413</v>
      </c>
      <c r="F372" s="29"/>
      <c r="G372" s="32">
        <v>45923</v>
      </c>
      <c r="H372" s="29"/>
      <c r="I372" s="5" t="s">
        <v>15</v>
      </c>
      <c r="J372" s="5" t="s">
        <v>16</v>
      </c>
      <c r="K372" s="5" t="s">
        <v>17</v>
      </c>
      <c r="L372" t="s">
        <v>22</v>
      </c>
    </row>
    <row r="373" spans="1:12" ht="18.75" customHeight="1" x14ac:dyDescent="0.3">
      <c r="A373" s="30">
        <v>2414</v>
      </c>
      <c r="B373" s="29"/>
      <c r="C373" s="5" t="s">
        <v>14</v>
      </c>
      <c r="D373" s="7">
        <v>510</v>
      </c>
      <c r="E373" s="31">
        <v>31420</v>
      </c>
      <c r="F373" s="29"/>
      <c r="G373" s="32">
        <v>45924</v>
      </c>
      <c r="H373" s="29"/>
      <c r="I373" s="5" t="s">
        <v>15</v>
      </c>
      <c r="J373" s="5" t="s">
        <v>16</v>
      </c>
      <c r="K373" s="5" t="s">
        <v>17</v>
      </c>
      <c r="L373" t="s">
        <v>26</v>
      </c>
    </row>
    <row r="374" spans="1:12" ht="18.75" customHeight="1" x14ac:dyDescent="0.3">
      <c r="A374" s="30">
        <v>2415</v>
      </c>
      <c r="B374" s="29"/>
      <c r="C374" s="5" t="s">
        <v>14</v>
      </c>
      <c r="D374" s="7">
        <v>356</v>
      </c>
      <c r="E374" s="31">
        <v>41054</v>
      </c>
      <c r="F374" s="29"/>
      <c r="G374" s="32">
        <v>45927</v>
      </c>
      <c r="H374" s="29"/>
      <c r="I374" s="5" t="s">
        <v>15</v>
      </c>
      <c r="J374" s="5" t="s">
        <v>16</v>
      </c>
      <c r="K374" s="5" t="s">
        <v>17</v>
      </c>
      <c r="L374" t="s">
        <v>24</v>
      </c>
    </row>
    <row r="375" spans="1:12" ht="18.75" customHeight="1" x14ac:dyDescent="0.3">
      <c r="A375" s="30">
        <v>2416</v>
      </c>
      <c r="B375" s="29"/>
      <c r="C375" s="5" t="s">
        <v>14</v>
      </c>
      <c r="D375" s="7">
        <v>445</v>
      </c>
      <c r="E375" s="31">
        <v>31446</v>
      </c>
      <c r="F375" s="29"/>
      <c r="G375" s="32">
        <v>45926</v>
      </c>
      <c r="H375" s="29"/>
      <c r="I375" s="5" t="s">
        <v>15</v>
      </c>
      <c r="J375" s="5" t="s">
        <v>16</v>
      </c>
      <c r="K375" s="5" t="s">
        <v>17</v>
      </c>
      <c r="L375" t="s">
        <v>37</v>
      </c>
    </row>
    <row r="376" spans="1:12" ht="18.75" customHeight="1" x14ac:dyDescent="0.3">
      <c r="A376" s="30">
        <v>2417</v>
      </c>
      <c r="B376" s="29"/>
      <c r="C376" s="5"/>
      <c r="D376" s="8"/>
      <c r="E376" s="28"/>
      <c r="F376" s="29"/>
      <c r="G376" s="32"/>
      <c r="H376" s="29"/>
      <c r="I376" s="5"/>
      <c r="J376" s="5"/>
      <c r="K376" s="5"/>
    </row>
    <row r="377" spans="1:12" ht="18.75" customHeight="1" x14ac:dyDescent="0.3">
      <c r="A377" s="30">
        <v>2418</v>
      </c>
      <c r="B377" s="29"/>
      <c r="C377" s="5"/>
      <c r="D377" s="8"/>
      <c r="E377" s="28"/>
      <c r="F377" s="29"/>
      <c r="G377" s="32"/>
      <c r="H377" s="29"/>
      <c r="I377" s="5"/>
      <c r="J377" s="5"/>
      <c r="K377" s="5"/>
    </row>
    <row r="378" spans="1:12" ht="18.75" customHeight="1" x14ac:dyDescent="0.3">
      <c r="A378" s="30">
        <v>2419</v>
      </c>
      <c r="B378" s="29"/>
      <c r="C378" s="5"/>
      <c r="D378" s="8"/>
      <c r="E378" s="28"/>
      <c r="F378" s="29"/>
      <c r="G378" s="32"/>
      <c r="H378" s="29"/>
      <c r="I378" s="5"/>
      <c r="J378" s="5"/>
      <c r="K378" s="5"/>
    </row>
    <row r="379" spans="1:12" ht="18.75" customHeight="1" x14ac:dyDescent="0.3">
      <c r="A379" s="30">
        <v>2420</v>
      </c>
      <c r="B379" s="29"/>
      <c r="C379" s="5"/>
      <c r="D379" s="8"/>
      <c r="E379" s="28"/>
      <c r="F379" s="29"/>
      <c r="G379" s="32"/>
      <c r="H379" s="29"/>
      <c r="I379" s="5"/>
      <c r="J379" s="5"/>
      <c r="K379" s="5"/>
    </row>
    <row r="380" spans="1:12" ht="18.75" customHeight="1" x14ac:dyDescent="0.3">
      <c r="A380" s="30">
        <v>2421</v>
      </c>
      <c r="B380" s="29"/>
      <c r="C380" s="5"/>
      <c r="D380" s="8"/>
      <c r="E380" s="28"/>
      <c r="F380" s="29"/>
      <c r="G380" s="32"/>
      <c r="H380" s="29"/>
      <c r="I380" s="5"/>
      <c r="J380" s="5"/>
      <c r="K380" s="5"/>
    </row>
    <row r="381" spans="1:12" ht="18.75" customHeight="1" x14ac:dyDescent="0.3">
      <c r="A381" s="30">
        <v>2422</v>
      </c>
      <c r="B381" s="29"/>
      <c r="C381" s="5"/>
      <c r="D381" s="8"/>
      <c r="E381" s="28"/>
      <c r="F381" s="29"/>
      <c r="G381" s="32"/>
      <c r="H381" s="29"/>
      <c r="I381" s="5"/>
      <c r="J381" s="5"/>
      <c r="K381" s="5"/>
    </row>
    <row r="382" spans="1:12" ht="18.75" customHeight="1" x14ac:dyDescent="0.3">
      <c r="A382" s="30">
        <v>2423</v>
      </c>
      <c r="B382" s="29"/>
      <c r="C382" s="5"/>
      <c r="D382" s="8"/>
      <c r="E382" s="28"/>
      <c r="F382" s="29"/>
      <c r="G382" s="32"/>
      <c r="H382" s="29"/>
      <c r="I382" s="5"/>
      <c r="J382" s="5"/>
      <c r="K382" s="5"/>
    </row>
    <row r="383" spans="1:12" ht="18.75" customHeight="1" x14ac:dyDescent="0.3">
      <c r="A383" s="30">
        <v>2424</v>
      </c>
      <c r="B383" s="29"/>
      <c r="C383" s="5"/>
      <c r="D383" s="8"/>
      <c r="E383" s="28"/>
      <c r="F383" s="29"/>
      <c r="G383" s="32"/>
      <c r="H383" s="29"/>
      <c r="I383" s="5"/>
      <c r="J383" s="5"/>
      <c r="K383" s="5"/>
    </row>
    <row r="384" spans="1:12" ht="18.75" customHeight="1" x14ac:dyDescent="0.3">
      <c r="A384" s="30">
        <v>2425</v>
      </c>
      <c r="B384" s="29"/>
      <c r="C384" s="5"/>
      <c r="D384" s="8"/>
      <c r="E384" s="28"/>
      <c r="F384" s="29"/>
      <c r="G384" s="32"/>
      <c r="H384" s="29"/>
      <c r="I384" s="5"/>
      <c r="J384" s="5"/>
      <c r="K384" s="5"/>
    </row>
    <row r="385" spans="1:11" ht="18.75" customHeight="1" x14ac:dyDescent="0.3">
      <c r="A385" s="30">
        <v>2426</v>
      </c>
      <c r="B385" s="29"/>
      <c r="C385" s="5"/>
      <c r="D385" s="8"/>
      <c r="E385" s="28"/>
      <c r="F385" s="29"/>
      <c r="G385" s="32"/>
      <c r="H385" s="29"/>
      <c r="I385" s="5"/>
      <c r="J385" s="5"/>
      <c r="K385" s="5"/>
    </row>
    <row r="386" spans="1:11" ht="18.75" customHeight="1" x14ac:dyDescent="0.3">
      <c r="A386" s="30">
        <v>2427</v>
      </c>
      <c r="B386" s="29"/>
      <c r="C386" s="5"/>
      <c r="D386" s="8"/>
      <c r="E386" s="28"/>
      <c r="F386" s="29"/>
      <c r="G386" s="32"/>
      <c r="H386" s="29"/>
      <c r="I386" s="5"/>
      <c r="J386" s="5"/>
      <c r="K386" s="5"/>
    </row>
    <row r="387" spans="1:11" ht="18.75" customHeight="1" x14ac:dyDescent="0.3">
      <c r="A387" s="30">
        <v>2428</v>
      </c>
      <c r="B387" s="29"/>
      <c r="C387" s="5"/>
      <c r="D387" s="8"/>
      <c r="E387" s="28"/>
      <c r="F387" s="29"/>
      <c r="G387" s="32"/>
      <c r="H387" s="29"/>
      <c r="I387" s="5"/>
      <c r="J387" s="5"/>
      <c r="K387" s="5"/>
    </row>
    <row r="388" spans="1:11" ht="18.75" customHeight="1" x14ac:dyDescent="0.3">
      <c r="A388" s="30">
        <v>2429</v>
      </c>
      <c r="B388" s="29"/>
      <c r="C388" s="5"/>
      <c r="D388" s="8"/>
      <c r="E388" s="28"/>
      <c r="F388" s="29"/>
      <c r="G388" s="32"/>
      <c r="H388" s="29"/>
      <c r="I388" s="5"/>
      <c r="J388" s="5"/>
      <c r="K388" s="5"/>
    </row>
    <row r="389" spans="1:11" ht="18.75" customHeight="1" x14ac:dyDescent="0.3">
      <c r="A389" s="30">
        <v>2430</v>
      </c>
      <c r="B389" s="29"/>
      <c r="C389" s="5"/>
      <c r="D389" s="8"/>
      <c r="E389" s="28"/>
      <c r="F389" s="29"/>
      <c r="G389" s="32"/>
      <c r="H389" s="29"/>
      <c r="I389" s="5"/>
      <c r="J389" s="5"/>
      <c r="K389" s="5"/>
    </row>
    <row r="390" spans="1:11" ht="18.75" customHeight="1" x14ac:dyDescent="0.3">
      <c r="A390" s="30">
        <v>2431</v>
      </c>
      <c r="B390" s="29"/>
      <c r="C390" s="5"/>
      <c r="D390" s="8"/>
      <c r="E390" s="28"/>
      <c r="F390" s="29"/>
      <c r="G390" s="32"/>
      <c r="H390" s="29"/>
      <c r="I390" s="5"/>
      <c r="J390" s="5"/>
      <c r="K390" s="5"/>
    </row>
    <row r="391" spans="1:11" ht="18.75" customHeight="1" x14ac:dyDescent="0.3">
      <c r="A391" s="30">
        <v>2432</v>
      </c>
      <c r="B391" s="29"/>
      <c r="C391" s="5"/>
      <c r="D391" s="8"/>
      <c r="E391" s="28"/>
      <c r="F391" s="29"/>
      <c r="G391" s="32"/>
      <c r="H391" s="29"/>
      <c r="I391" s="5"/>
      <c r="J391" s="5"/>
      <c r="K391" s="5"/>
    </row>
    <row r="392" spans="1:11" ht="18.75" customHeight="1" x14ac:dyDescent="0.3">
      <c r="A392" s="30">
        <v>2433</v>
      </c>
      <c r="B392" s="29"/>
      <c r="C392" s="5"/>
      <c r="D392" s="8"/>
      <c r="E392" s="28"/>
      <c r="F392" s="29"/>
      <c r="G392" s="32"/>
      <c r="H392" s="29"/>
      <c r="I392" s="5"/>
      <c r="J392" s="5"/>
      <c r="K392" s="5"/>
    </row>
    <row r="393" spans="1:11" ht="18.75" customHeight="1" x14ac:dyDescent="0.3">
      <c r="A393" s="30">
        <v>2434</v>
      </c>
      <c r="B393" s="29"/>
      <c r="C393" s="5"/>
      <c r="D393" s="8"/>
      <c r="E393" s="28"/>
      <c r="F393" s="29"/>
      <c r="G393" s="32"/>
      <c r="H393" s="29"/>
      <c r="I393" s="5"/>
      <c r="J393" s="5"/>
      <c r="K393" s="5"/>
    </row>
    <row r="394" spans="1:11" ht="18.75" customHeight="1" x14ac:dyDescent="0.3">
      <c r="A394" s="30">
        <v>2435</v>
      </c>
      <c r="B394" s="29"/>
      <c r="C394" s="5"/>
      <c r="D394" s="8"/>
      <c r="E394" s="28"/>
      <c r="F394" s="29"/>
      <c r="G394" s="32"/>
      <c r="H394" s="29"/>
      <c r="I394" s="5"/>
      <c r="J394" s="5"/>
      <c r="K394" s="5"/>
    </row>
    <row r="395" spans="1:11" ht="18.75" customHeight="1" x14ac:dyDescent="0.3">
      <c r="A395" s="30">
        <v>2436</v>
      </c>
      <c r="B395" s="29"/>
      <c r="C395" s="5"/>
      <c r="D395" s="8"/>
      <c r="E395" s="28"/>
      <c r="F395" s="29"/>
      <c r="G395" s="32"/>
      <c r="H395" s="29"/>
      <c r="I395" s="5"/>
      <c r="J395" s="5"/>
      <c r="K395" s="5"/>
    </row>
    <row r="396" spans="1:11" ht="18.75" customHeight="1" x14ac:dyDescent="0.3">
      <c r="A396" s="30">
        <v>2437</v>
      </c>
      <c r="B396" s="29"/>
      <c r="C396" s="5"/>
      <c r="D396" s="8"/>
      <c r="E396" s="28"/>
      <c r="F396" s="29"/>
      <c r="G396" s="32"/>
      <c r="H396" s="29"/>
      <c r="I396" s="5"/>
      <c r="J396" s="5"/>
      <c r="K396" s="5"/>
    </row>
    <row r="397" spans="1:11" ht="18.75" customHeight="1" x14ac:dyDescent="0.3">
      <c r="A397" s="30">
        <v>2438</v>
      </c>
      <c r="B397" s="29"/>
      <c r="C397" s="5"/>
      <c r="D397" s="8"/>
      <c r="E397" s="28"/>
      <c r="F397" s="29"/>
      <c r="G397" s="32"/>
      <c r="H397" s="29"/>
      <c r="I397" s="5"/>
      <c r="J397" s="5"/>
      <c r="K397" s="5"/>
    </row>
    <row r="398" spans="1:11" ht="18.75" customHeight="1" x14ac:dyDescent="0.3">
      <c r="A398" s="30">
        <v>2439</v>
      </c>
      <c r="B398" s="29"/>
      <c r="C398" s="5"/>
      <c r="D398" s="8"/>
      <c r="E398" s="28"/>
      <c r="F398" s="29"/>
      <c r="G398" s="32"/>
      <c r="H398" s="29"/>
      <c r="I398" s="5"/>
      <c r="J398" s="5"/>
      <c r="K398" s="5"/>
    </row>
    <row r="399" spans="1:11" ht="18.75" customHeight="1" x14ac:dyDescent="0.3">
      <c r="A399" s="30">
        <v>2440</v>
      </c>
      <c r="B399" s="29"/>
      <c r="C399" s="5"/>
      <c r="D399" s="8"/>
      <c r="E399" s="28"/>
      <c r="F399" s="29"/>
      <c r="G399" s="32"/>
      <c r="H399" s="29"/>
      <c r="I399" s="5"/>
      <c r="J399" s="5"/>
      <c r="K399" s="5"/>
    </row>
    <row r="400" spans="1:11" ht="18.75" customHeight="1" x14ac:dyDescent="0.3">
      <c r="A400" s="30">
        <v>2441</v>
      </c>
      <c r="B400" s="29"/>
      <c r="C400" s="5"/>
      <c r="D400" s="8"/>
      <c r="E400" s="28"/>
      <c r="F400" s="29"/>
      <c r="G400" s="32"/>
      <c r="H400" s="29"/>
      <c r="I400" s="5"/>
      <c r="J400" s="5"/>
      <c r="K400" s="5"/>
    </row>
    <row r="401" spans="1:11" ht="18.75" customHeight="1" x14ac:dyDescent="0.3">
      <c r="A401" s="30">
        <v>2442</v>
      </c>
      <c r="B401" s="29"/>
      <c r="C401" s="5"/>
      <c r="D401" s="8"/>
      <c r="E401" s="28"/>
      <c r="F401" s="29"/>
      <c r="G401" s="32"/>
      <c r="H401" s="29"/>
      <c r="I401" s="5"/>
      <c r="J401" s="5"/>
      <c r="K401" s="5"/>
    </row>
    <row r="402" spans="1:11" ht="18.75" customHeight="1" x14ac:dyDescent="0.3">
      <c r="A402" s="30">
        <v>2443</v>
      </c>
      <c r="B402" s="29"/>
      <c r="C402" s="5"/>
      <c r="D402" s="8"/>
      <c r="E402" s="28"/>
      <c r="F402" s="29"/>
      <c r="G402" s="32"/>
      <c r="H402" s="29"/>
      <c r="I402" s="5"/>
      <c r="J402" s="5"/>
      <c r="K402" s="5"/>
    </row>
    <row r="403" spans="1:11" ht="18.75" customHeight="1" x14ac:dyDescent="0.3">
      <c r="A403" s="30">
        <v>2444</v>
      </c>
      <c r="B403" s="29"/>
      <c r="C403" s="5"/>
      <c r="D403" s="8"/>
      <c r="E403" s="28"/>
      <c r="F403" s="29"/>
      <c r="G403" s="32"/>
      <c r="H403" s="29"/>
      <c r="I403" s="5"/>
      <c r="J403" s="5"/>
      <c r="K403" s="5"/>
    </row>
    <row r="404" spans="1:11" ht="18.75" customHeight="1" x14ac:dyDescent="0.3">
      <c r="A404" s="30">
        <v>2445</v>
      </c>
      <c r="B404" s="29"/>
      <c r="C404" s="5"/>
      <c r="D404" s="8"/>
      <c r="E404" s="28"/>
      <c r="F404" s="29"/>
      <c r="G404" s="32"/>
      <c r="H404" s="29"/>
      <c r="I404" s="5"/>
      <c r="J404" s="5"/>
      <c r="K404" s="5"/>
    </row>
    <row r="405" spans="1:11" ht="18.75" customHeight="1" x14ac:dyDescent="0.3">
      <c r="A405" s="30">
        <v>2446</v>
      </c>
      <c r="B405" s="29"/>
      <c r="C405" s="5"/>
      <c r="D405" s="8"/>
      <c r="E405" s="28"/>
      <c r="F405" s="29"/>
      <c r="G405" s="32"/>
      <c r="H405" s="29"/>
      <c r="I405" s="5"/>
      <c r="J405" s="5"/>
      <c r="K405" s="5"/>
    </row>
    <row r="406" spans="1:11" ht="18.75" customHeight="1" x14ac:dyDescent="0.3">
      <c r="A406" s="30">
        <v>2447</v>
      </c>
      <c r="B406" s="29"/>
      <c r="C406" s="5"/>
      <c r="D406" s="8"/>
      <c r="E406" s="28"/>
      <c r="F406" s="29"/>
      <c r="G406" s="32"/>
      <c r="H406" s="29"/>
      <c r="I406" s="5"/>
      <c r="J406" s="5"/>
      <c r="K406" s="5"/>
    </row>
    <row r="407" spans="1:11" ht="18.75" customHeight="1" x14ac:dyDescent="0.3">
      <c r="A407" s="30">
        <v>2448</v>
      </c>
      <c r="B407" s="29"/>
      <c r="C407" s="5"/>
      <c r="D407" s="8"/>
      <c r="E407" s="28"/>
      <c r="F407" s="29"/>
      <c r="G407" s="32"/>
      <c r="H407" s="29"/>
      <c r="I407" s="5"/>
      <c r="J407" s="5"/>
      <c r="K407" s="5"/>
    </row>
    <row r="408" spans="1:11" ht="18.75" customHeight="1" x14ac:dyDescent="0.3">
      <c r="A408" s="30">
        <v>2449</v>
      </c>
      <c r="B408" s="29"/>
      <c r="C408" s="5"/>
      <c r="D408" s="8"/>
      <c r="E408" s="28"/>
      <c r="F408" s="29"/>
      <c r="G408" s="32"/>
      <c r="H408" s="29"/>
      <c r="I408" s="5"/>
      <c r="J408" s="5"/>
      <c r="K408" s="5"/>
    </row>
    <row r="409" spans="1:11" ht="18.75" customHeight="1" x14ac:dyDescent="0.3">
      <c r="A409" s="30">
        <v>2450</v>
      </c>
      <c r="B409" s="29"/>
      <c r="C409" s="5"/>
      <c r="D409" s="8"/>
      <c r="E409" s="28"/>
      <c r="F409" s="29"/>
      <c r="G409" s="32"/>
      <c r="H409" s="29"/>
      <c r="I409" s="5"/>
      <c r="J409" s="5"/>
      <c r="K409" s="5"/>
    </row>
    <row r="410" spans="1:11" ht="18.75" customHeight="1" x14ac:dyDescent="0.3">
      <c r="A410" s="30">
        <v>2451</v>
      </c>
      <c r="B410" s="29"/>
      <c r="C410" s="5"/>
      <c r="D410" s="8"/>
      <c r="E410" s="28"/>
      <c r="F410" s="29"/>
      <c r="G410" s="32"/>
      <c r="H410" s="29"/>
      <c r="I410" s="5"/>
      <c r="J410" s="5"/>
      <c r="K410" s="5"/>
    </row>
    <row r="411" spans="1:11" ht="18.75" customHeight="1" x14ac:dyDescent="0.3">
      <c r="A411" s="30">
        <v>2452</v>
      </c>
      <c r="B411" s="29"/>
      <c r="C411" s="5"/>
      <c r="D411" s="8"/>
      <c r="E411" s="28"/>
      <c r="F411" s="29"/>
      <c r="G411" s="32"/>
      <c r="H411" s="29"/>
      <c r="I411" s="5"/>
      <c r="J411" s="5"/>
      <c r="K411" s="5"/>
    </row>
    <row r="412" spans="1:11" ht="18.75" customHeight="1" x14ac:dyDescent="0.3">
      <c r="A412" s="30">
        <v>2453</v>
      </c>
      <c r="B412" s="29"/>
      <c r="C412" s="5"/>
      <c r="D412" s="8"/>
      <c r="E412" s="28"/>
      <c r="F412" s="29"/>
      <c r="G412" s="32"/>
      <c r="H412" s="29"/>
      <c r="I412" s="5"/>
      <c r="J412" s="5"/>
      <c r="K412" s="5"/>
    </row>
    <row r="413" spans="1:11" ht="18.75" customHeight="1" x14ac:dyDescent="0.3">
      <c r="A413" s="30">
        <v>2454</v>
      </c>
      <c r="B413" s="29"/>
      <c r="C413" s="5"/>
      <c r="D413" s="8"/>
      <c r="E413" s="28"/>
      <c r="F413" s="29"/>
      <c r="G413" s="32"/>
      <c r="H413" s="29"/>
      <c r="I413" s="5"/>
      <c r="J413" s="5"/>
      <c r="K413" s="5"/>
    </row>
    <row r="414" spans="1:11" ht="18.75" customHeight="1" x14ac:dyDescent="0.3">
      <c r="A414" s="30">
        <v>2455</v>
      </c>
      <c r="B414" s="29"/>
      <c r="C414" s="5"/>
      <c r="D414" s="8"/>
      <c r="E414" s="28"/>
      <c r="F414" s="29"/>
      <c r="G414" s="32"/>
      <c r="H414" s="29"/>
      <c r="I414" s="5"/>
      <c r="J414" s="5"/>
      <c r="K414" s="5"/>
    </row>
    <row r="415" spans="1:11" ht="18.75" customHeight="1" x14ac:dyDescent="0.3">
      <c r="A415" s="30">
        <v>2456</v>
      </c>
      <c r="B415" s="29"/>
      <c r="C415" s="5"/>
      <c r="D415" s="8"/>
      <c r="E415" s="28"/>
      <c r="F415" s="29"/>
      <c r="G415" s="32"/>
      <c r="H415" s="29"/>
      <c r="I415" s="5"/>
      <c r="J415" s="5"/>
      <c r="K415" s="5"/>
    </row>
    <row r="416" spans="1:11" ht="18.75" customHeight="1" x14ac:dyDescent="0.3">
      <c r="A416" s="30">
        <v>2457</v>
      </c>
      <c r="B416" s="29"/>
      <c r="C416" s="5"/>
      <c r="D416" s="8"/>
      <c r="E416" s="28"/>
      <c r="F416" s="29"/>
      <c r="G416" s="32"/>
      <c r="H416" s="29"/>
      <c r="I416" s="5"/>
      <c r="J416" s="5"/>
      <c r="K416" s="5"/>
    </row>
    <row r="417" spans="1:11" ht="18.75" customHeight="1" x14ac:dyDescent="0.3">
      <c r="A417" s="30">
        <v>2458</v>
      </c>
      <c r="B417" s="29"/>
      <c r="C417" s="5"/>
      <c r="D417" s="8"/>
      <c r="E417" s="28"/>
      <c r="F417" s="29"/>
      <c r="G417" s="32"/>
      <c r="H417" s="29"/>
      <c r="I417" s="5"/>
      <c r="J417" s="5"/>
      <c r="K417" s="5"/>
    </row>
    <row r="418" spans="1:11" ht="18.75" customHeight="1" x14ac:dyDescent="0.3">
      <c r="A418" s="30">
        <v>2459</v>
      </c>
      <c r="B418" s="29"/>
      <c r="C418" s="5"/>
      <c r="D418" s="8"/>
      <c r="E418" s="28"/>
      <c r="F418" s="29"/>
      <c r="G418" s="32"/>
      <c r="H418" s="29"/>
      <c r="I418" s="5"/>
      <c r="J418" s="5"/>
      <c r="K418" s="5"/>
    </row>
    <row r="419" spans="1:11" ht="18.75" customHeight="1" x14ac:dyDescent="0.3">
      <c r="A419" s="30">
        <v>2460</v>
      </c>
      <c r="B419" s="29"/>
      <c r="C419" s="5"/>
      <c r="D419" s="8"/>
      <c r="E419" s="28"/>
      <c r="F419" s="29"/>
      <c r="G419" s="32"/>
      <c r="H419" s="29"/>
      <c r="I419" s="5"/>
      <c r="J419" s="5"/>
      <c r="K419" s="5"/>
    </row>
    <row r="420" spans="1:11" ht="18.75" customHeight="1" x14ac:dyDescent="0.3">
      <c r="A420" s="30">
        <v>2461</v>
      </c>
      <c r="B420" s="29"/>
      <c r="C420" s="5"/>
      <c r="D420" s="8"/>
      <c r="E420" s="28"/>
      <c r="F420" s="29"/>
      <c r="G420" s="32"/>
      <c r="H420" s="29"/>
      <c r="I420" s="5"/>
      <c r="J420" s="5"/>
      <c r="K420" s="5"/>
    </row>
    <row r="421" spans="1:11" ht="18.75" customHeight="1" x14ac:dyDescent="0.3">
      <c r="A421" s="30">
        <v>2462</v>
      </c>
      <c r="B421" s="29"/>
      <c r="C421" s="5"/>
      <c r="D421" s="8"/>
      <c r="E421" s="28"/>
      <c r="F421" s="29"/>
      <c r="G421" s="32"/>
      <c r="H421" s="29"/>
      <c r="I421" s="5"/>
      <c r="J421" s="5"/>
      <c r="K421" s="5"/>
    </row>
    <row r="422" spans="1:11" ht="18.75" customHeight="1" x14ac:dyDescent="0.3">
      <c r="A422" s="30">
        <v>2463</v>
      </c>
      <c r="B422" s="29"/>
      <c r="C422" s="5"/>
      <c r="D422" s="8"/>
      <c r="E422" s="28"/>
      <c r="F422" s="29"/>
      <c r="G422" s="32"/>
      <c r="H422" s="29"/>
      <c r="I422" s="5"/>
      <c r="J422" s="5"/>
      <c r="K422" s="5"/>
    </row>
    <row r="423" spans="1:11" ht="18.75" customHeight="1" x14ac:dyDescent="0.3">
      <c r="A423" s="30">
        <v>2464</v>
      </c>
      <c r="B423" s="29"/>
      <c r="C423" s="5"/>
      <c r="D423" s="8"/>
      <c r="E423" s="28"/>
      <c r="F423" s="29"/>
      <c r="G423" s="32"/>
      <c r="H423" s="29"/>
      <c r="I423" s="5"/>
      <c r="J423" s="5"/>
      <c r="K423" s="5"/>
    </row>
    <row r="424" spans="1:11" ht="18.75" customHeight="1" x14ac:dyDescent="0.3">
      <c r="A424" s="30">
        <v>2465</v>
      </c>
      <c r="B424" s="29"/>
      <c r="C424" s="5"/>
      <c r="D424" s="8"/>
      <c r="E424" s="28"/>
      <c r="F424" s="29"/>
      <c r="G424" s="32"/>
      <c r="H424" s="29"/>
      <c r="I424" s="5"/>
      <c r="J424" s="5"/>
      <c r="K424" s="5"/>
    </row>
    <row r="425" spans="1:11" ht="18.75" customHeight="1" x14ac:dyDescent="0.3">
      <c r="A425" s="30">
        <v>2466</v>
      </c>
      <c r="B425" s="29"/>
      <c r="C425" s="5"/>
      <c r="D425" s="8"/>
      <c r="E425" s="28"/>
      <c r="F425" s="29"/>
      <c r="G425" s="32"/>
      <c r="H425" s="29"/>
      <c r="I425" s="5"/>
      <c r="J425" s="5"/>
      <c r="K425" s="5"/>
    </row>
    <row r="426" spans="1:11" ht="18.75" customHeight="1" x14ac:dyDescent="0.3">
      <c r="A426" s="30">
        <v>2467</v>
      </c>
      <c r="B426" s="29"/>
      <c r="C426" s="5"/>
      <c r="D426" s="8"/>
      <c r="E426" s="28"/>
      <c r="F426" s="29"/>
      <c r="G426" s="32"/>
      <c r="H426" s="29"/>
      <c r="I426" s="5"/>
      <c r="J426" s="5"/>
      <c r="K426" s="5"/>
    </row>
    <row r="427" spans="1:11" ht="18.75" customHeight="1" x14ac:dyDescent="0.3">
      <c r="A427" s="30">
        <v>2468</v>
      </c>
      <c r="B427" s="29"/>
      <c r="C427" s="5"/>
      <c r="D427" s="8"/>
      <c r="E427" s="28"/>
      <c r="F427" s="29"/>
      <c r="G427" s="32"/>
      <c r="H427" s="29"/>
      <c r="I427" s="5"/>
      <c r="J427" s="5"/>
      <c r="K427" s="5"/>
    </row>
    <row r="428" spans="1:11" ht="18.75" customHeight="1" x14ac:dyDescent="0.3">
      <c r="A428" s="30">
        <v>2469</v>
      </c>
      <c r="B428" s="29"/>
      <c r="C428" s="5"/>
      <c r="D428" s="8"/>
      <c r="E428" s="28"/>
      <c r="F428" s="29"/>
      <c r="G428" s="32"/>
      <c r="H428" s="29"/>
      <c r="I428" s="5"/>
      <c r="J428" s="5"/>
      <c r="K428" s="5"/>
    </row>
    <row r="429" spans="1:11" ht="18.75" customHeight="1" x14ac:dyDescent="0.3">
      <c r="A429" s="30">
        <v>2470</v>
      </c>
      <c r="B429" s="29"/>
      <c r="C429" s="5"/>
      <c r="D429" s="8"/>
      <c r="E429" s="28"/>
      <c r="F429" s="29"/>
      <c r="G429" s="32"/>
      <c r="H429" s="29"/>
      <c r="I429" s="5"/>
      <c r="J429" s="5"/>
      <c r="K429" s="5"/>
    </row>
    <row r="430" spans="1:11" ht="18.75" customHeight="1" x14ac:dyDescent="0.3">
      <c r="A430" s="30">
        <v>2471</v>
      </c>
      <c r="B430" s="29"/>
      <c r="C430" s="5"/>
      <c r="D430" s="8"/>
      <c r="E430" s="28"/>
      <c r="F430" s="29"/>
      <c r="G430" s="32"/>
      <c r="H430" s="29"/>
      <c r="I430" s="5"/>
      <c r="J430" s="5"/>
      <c r="K430" s="5"/>
    </row>
    <row r="431" spans="1:11" ht="18.75" customHeight="1" x14ac:dyDescent="0.3">
      <c r="A431" s="30">
        <v>2472</v>
      </c>
      <c r="B431" s="29"/>
      <c r="C431" s="5"/>
      <c r="D431" s="8"/>
      <c r="E431" s="28"/>
      <c r="F431" s="29"/>
      <c r="G431" s="32"/>
      <c r="H431" s="29"/>
      <c r="I431" s="5"/>
      <c r="J431" s="5"/>
      <c r="K431" s="5"/>
    </row>
    <row r="432" spans="1:11" ht="18.75" customHeight="1" x14ac:dyDescent="0.3">
      <c r="A432" s="30">
        <v>2473</v>
      </c>
      <c r="B432" s="29"/>
      <c r="C432" s="5"/>
      <c r="D432" s="8"/>
      <c r="E432" s="28"/>
      <c r="F432" s="29"/>
      <c r="G432" s="32"/>
      <c r="H432" s="29"/>
      <c r="I432" s="5"/>
      <c r="J432" s="5"/>
      <c r="K432" s="5"/>
    </row>
    <row r="433" spans="1:11" ht="18.75" customHeight="1" x14ac:dyDescent="0.3">
      <c r="A433" s="30">
        <v>2474</v>
      </c>
      <c r="B433" s="29"/>
      <c r="C433" s="5"/>
      <c r="D433" s="8"/>
      <c r="E433" s="28"/>
      <c r="F433" s="29"/>
      <c r="G433" s="32"/>
      <c r="H433" s="29"/>
      <c r="I433" s="5"/>
      <c r="J433" s="5"/>
      <c r="K433" s="5"/>
    </row>
    <row r="434" spans="1:11" ht="18.75" customHeight="1" x14ac:dyDescent="0.3">
      <c r="A434" s="30">
        <v>2475</v>
      </c>
      <c r="B434" s="29"/>
      <c r="C434" s="5"/>
      <c r="D434" s="8"/>
      <c r="E434" s="28"/>
      <c r="F434" s="29"/>
      <c r="G434" s="32"/>
      <c r="H434" s="29"/>
      <c r="I434" s="5"/>
      <c r="J434" s="5"/>
      <c r="K434" s="5"/>
    </row>
    <row r="435" spans="1:11" ht="18.75" customHeight="1" x14ac:dyDescent="0.3">
      <c r="A435" s="30">
        <v>2476</v>
      </c>
      <c r="B435" s="29"/>
      <c r="C435" s="5"/>
      <c r="D435" s="8"/>
      <c r="E435" s="28"/>
      <c r="F435" s="29"/>
      <c r="G435" s="32"/>
      <c r="H435" s="29"/>
      <c r="I435" s="5"/>
      <c r="J435" s="5"/>
      <c r="K435" s="5"/>
    </row>
    <row r="436" spans="1:11" ht="18.75" customHeight="1" x14ac:dyDescent="0.3">
      <c r="A436" s="30">
        <v>2477</v>
      </c>
      <c r="B436" s="29"/>
      <c r="C436" s="5"/>
      <c r="D436" s="8"/>
      <c r="E436" s="28"/>
      <c r="F436" s="29"/>
      <c r="G436" s="32"/>
      <c r="H436" s="29"/>
      <c r="I436" s="5"/>
      <c r="J436" s="5"/>
      <c r="K436" s="5"/>
    </row>
    <row r="437" spans="1:11" ht="18.75" customHeight="1" x14ac:dyDescent="0.3">
      <c r="A437" s="30">
        <v>2478</v>
      </c>
      <c r="B437" s="29"/>
      <c r="C437" s="5"/>
      <c r="D437" s="8"/>
      <c r="E437" s="28"/>
      <c r="F437" s="29"/>
      <c r="G437" s="32"/>
      <c r="H437" s="29"/>
      <c r="I437" s="5"/>
      <c r="J437" s="5"/>
      <c r="K437" s="5"/>
    </row>
    <row r="438" spans="1:11" ht="18.75" customHeight="1" x14ac:dyDescent="0.3">
      <c r="A438" s="30">
        <v>2479</v>
      </c>
      <c r="B438" s="29"/>
      <c r="C438" s="5"/>
      <c r="D438" s="8"/>
      <c r="E438" s="28"/>
      <c r="F438" s="29"/>
      <c r="G438" s="32"/>
      <c r="H438" s="29"/>
      <c r="I438" s="5"/>
      <c r="J438" s="5"/>
      <c r="K438" s="5"/>
    </row>
    <row r="439" spans="1:11" ht="18.75" customHeight="1" x14ac:dyDescent="0.3">
      <c r="A439" s="30">
        <v>2480</v>
      </c>
      <c r="B439" s="29"/>
      <c r="C439" s="5"/>
      <c r="D439" s="8"/>
      <c r="E439" s="28"/>
      <c r="F439" s="29"/>
      <c r="G439" s="32"/>
      <c r="H439" s="29"/>
      <c r="I439" s="5"/>
      <c r="J439" s="5"/>
      <c r="K439" s="5"/>
    </row>
    <row r="440" spans="1:11" ht="18.75" customHeight="1" x14ac:dyDescent="0.3">
      <c r="A440" s="30">
        <v>2481</v>
      </c>
      <c r="B440" s="29"/>
      <c r="C440" s="5"/>
      <c r="D440" s="8"/>
      <c r="E440" s="28"/>
      <c r="F440" s="29"/>
      <c r="G440" s="32"/>
      <c r="H440" s="29"/>
      <c r="I440" s="5"/>
      <c r="J440" s="5"/>
      <c r="K440" s="5"/>
    </row>
    <row r="441" spans="1:11" ht="18.75" customHeight="1" x14ac:dyDescent="0.3">
      <c r="A441" s="30">
        <v>2482</v>
      </c>
      <c r="B441" s="29"/>
      <c r="C441" s="5"/>
      <c r="D441" s="8"/>
      <c r="E441" s="28"/>
      <c r="F441" s="29"/>
      <c r="G441" s="32"/>
      <c r="H441" s="29"/>
      <c r="I441" s="5"/>
      <c r="J441" s="5"/>
      <c r="K441" s="5"/>
    </row>
    <row r="442" spans="1:11" ht="18.75" customHeight="1" x14ac:dyDescent="0.3">
      <c r="A442" s="30">
        <v>2483</v>
      </c>
      <c r="B442" s="29"/>
      <c r="C442" s="5"/>
      <c r="D442" s="8"/>
      <c r="E442" s="28"/>
      <c r="F442" s="29"/>
      <c r="G442" s="32"/>
      <c r="H442" s="29"/>
      <c r="I442" s="5"/>
      <c r="J442" s="5"/>
      <c r="K442" s="5"/>
    </row>
    <row r="443" spans="1:11" ht="18.75" customHeight="1" x14ac:dyDescent="0.3">
      <c r="A443" s="30">
        <v>2484</v>
      </c>
      <c r="B443" s="29"/>
      <c r="C443" s="5"/>
      <c r="D443" s="8"/>
      <c r="E443" s="28"/>
      <c r="F443" s="29"/>
      <c r="G443" s="32"/>
      <c r="H443" s="29"/>
      <c r="I443" s="5"/>
      <c r="J443" s="5"/>
      <c r="K443" s="5"/>
    </row>
    <row r="444" spans="1:11" ht="18.75" customHeight="1" x14ac:dyDescent="0.3">
      <c r="A444" s="30">
        <v>2485</v>
      </c>
      <c r="B444" s="29"/>
      <c r="C444" s="5"/>
      <c r="D444" s="8"/>
      <c r="E444" s="28"/>
      <c r="F444" s="29"/>
      <c r="G444" s="32"/>
      <c r="H444" s="29"/>
      <c r="I444" s="5"/>
      <c r="J444" s="5"/>
      <c r="K444" s="5"/>
    </row>
    <row r="445" spans="1:11" ht="18.75" customHeight="1" x14ac:dyDescent="0.3">
      <c r="A445" s="30">
        <v>2486</v>
      </c>
      <c r="B445" s="29"/>
      <c r="C445" s="5"/>
      <c r="D445" s="8"/>
      <c r="E445" s="28"/>
      <c r="F445" s="29"/>
      <c r="G445" s="32"/>
      <c r="H445" s="29"/>
      <c r="I445" s="5"/>
      <c r="J445" s="5"/>
      <c r="K445" s="5"/>
    </row>
    <row r="446" spans="1:11" ht="18.75" customHeight="1" x14ac:dyDescent="0.3">
      <c r="A446" s="30">
        <v>2487</v>
      </c>
      <c r="B446" s="29"/>
      <c r="C446" s="5"/>
      <c r="D446" s="8"/>
      <c r="E446" s="28"/>
      <c r="F446" s="29"/>
      <c r="G446" s="32"/>
      <c r="H446" s="29"/>
      <c r="I446" s="5"/>
      <c r="J446" s="5"/>
      <c r="K446" s="5"/>
    </row>
    <row r="447" spans="1:11" ht="18.75" customHeight="1" x14ac:dyDescent="0.3">
      <c r="A447" s="30">
        <v>2488</v>
      </c>
      <c r="B447" s="29"/>
      <c r="C447" s="5"/>
      <c r="D447" s="8"/>
      <c r="E447" s="28"/>
      <c r="F447" s="29"/>
      <c r="G447" s="32"/>
      <c r="H447" s="29"/>
      <c r="I447" s="5"/>
      <c r="J447" s="5"/>
      <c r="K447" s="5"/>
    </row>
    <row r="448" spans="1:11" ht="18.75" customHeight="1" x14ac:dyDescent="0.3">
      <c r="A448" s="30">
        <v>2489</v>
      </c>
      <c r="B448" s="29"/>
      <c r="C448" s="5"/>
      <c r="D448" s="8"/>
      <c r="E448" s="28"/>
      <c r="F448" s="29"/>
      <c r="G448" s="32"/>
      <c r="H448" s="29"/>
      <c r="I448" s="5"/>
      <c r="J448" s="5"/>
      <c r="K448" s="5"/>
    </row>
    <row r="449" spans="1:11" ht="18.75" customHeight="1" x14ac:dyDescent="0.3">
      <c r="A449" s="30">
        <v>2490</v>
      </c>
      <c r="B449" s="29"/>
      <c r="C449" s="5"/>
      <c r="D449" s="8"/>
      <c r="E449" s="28"/>
      <c r="F449" s="29"/>
      <c r="G449" s="32"/>
      <c r="H449" s="29"/>
      <c r="I449" s="5"/>
      <c r="J449" s="5"/>
      <c r="K449" s="5"/>
    </row>
    <row r="450" spans="1:11" ht="18.75" customHeight="1" x14ac:dyDescent="0.3">
      <c r="A450" s="30">
        <v>2491</v>
      </c>
      <c r="B450" s="29"/>
      <c r="C450" s="5"/>
      <c r="D450" s="8"/>
      <c r="E450" s="28"/>
      <c r="F450" s="29"/>
      <c r="G450" s="32"/>
      <c r="H450" s="29"/>
      <c r="I450" s="5"/>
      <c r="J450" s="5"/>
      <c r="K450" s="5"/>
    </row>
    <row r="451" spans="1:11" ht="18.75" customHeight="1" x14ac:dyDescent="0.3">
      <c r="A451" s="30">
        <v>2492</v>
      </c>
      <c r="B451" s="29"/>
      <c r="C451" s="5"/>
      <c r="D451" s="8"/>
      <c r="E451" s="28"/>
      <c r="F451" s="29"/>
      <c r="G451" s="32"/>
      <c r="H451" s="29"/>
      <c r="I451" s="5"/>
      <c r="J451" s="5"/>
      <c r="K451" s="5"/>
    </row>
    <row r="452" spans="1:11" ht="18.75" customHeight="1" x14ac:dyDescent="0.3">
      <c r="A452" s="30">
        <v>2493</v>
      </c>
      <c r="B452" s="29"/>
      <c r="C452" s="5"/>
      <c r="D452" s="8"/>
      <c r="E452" s="28"/>
      <c r="F452" s="29"/>
      <c r="G452" s="32"/>
      <c r="H452" s="29"/>
      <c r="I452" s="5"/>
      <c r="J452" s="5"/>
      <c r="K452" s="5"/>
    </row>
    <row r="453" spans="1:11" ht="18.75" customHeight="1" x14ac:dyDescent="0.3">
      <c r="A453" s="30">
        <v>2494</v>
      </c>
      <c r="B453" s="29"/>
      <c r="C453" s="5"/>
      <c r="D453" s="8"/>
      <c r="E453" s="28"/>
      <c r="F453" s="29"/>
      <c r="G453" s="32"/>
      <c r="H453" s="29"/>
      <c r="I453" s="5"/>
      <c r="J453" s="5"/>
      <c r="K453" s="5"/>
    </row>
    <row r="454" spans="1:11" ht="18.75" customHeight="1" x14ac:dyDescent="0.3">
      <c r="A454" s="30">
        <v>2495</v>
      </c>
      <c r="B454" s="29"/>
      <c r="C454" s="5"/>
      <c r="D454" s="8"/>
      <c r="E454" s="28"/>
      <c r="F454" s="29"/>
      <c r="G454" s="32"/>
      <c r="H454" s="29"/>
      <c r="I454" s="5"/>
      <c r="J454" s="5"/>
      <c r="K454" s="5"/>
    </row>
    <row r="455" spans="1:11" ht="18.75" customHeight="1" x14ac:dyDescent="0.3">
      <c r="A455" s="30">
        <v>2496</v>
      </c>
      <c r="B455" s="29"/>
      <c r="C455" s="5"/>
      <c r="D455" s="8"/>
      <c r="E455" s="28"/>
      <c r="F455" s="29"/>
      <c r="G455" s="32"/>
      <c r="H455" s="29"/>
      <c r="I455" s="5"/>
      <c r="J455" s="5"/>
      <c r="K455" s="5"/>
    </row>
    <row r="456" spans="1:11" ht="18.75" customHeight="1" x14ac:dyDescent="0.3">
      <c r="A456" s="30">
        <v>2497</v>
      </c>
      <c r="B456" s="29"/>
      <c r="C456" s="5"/>
      <c r="D456" s="8"/>
      <c r="E456" s="28"/>
      <c r="F456" s="29"/>
      <c r="G456" s="32"/>
      <c r="H456" s="29"/>
      <c r="I456" s="5"/>
      <c r="J456" s="5"/>
      <c r="K456" s="5"/>
    </row>
    <row r="457" spans="1:11" ht="18.75" customHeight="1" x14ac:dyDescent="0.3">
      <c r="A457" s="30">
        <v>2498</v>
      </c>
      <c r="B457" s="29"/>
      <c r="C457" s="5"/>
      <c r="D457" s="8"/>
      <c r="E457" s="28"/>
      <c r="F457" s="29"/>
      <c r="G457" s="32"/>
      <c r="H457" s="29"/>
      <c r="I457" s="5"/>
      <c r="J457" s="5"/>
      <c r="K457" s="5"/>
    </row>
    <row r="458" spans="1:11" ht="18.75" customHeight="1" x14ac:dyDescent="0.3">
      <c r="A458" s="30">
        <v>2499</v>
      </c>
      <c r="B458" s="29"/>
      <c r="C458" s="5"/>
      <c r="D458" s="8"/>
      <c r="E458" s="28"/>
      <c r="F458" s="29"/>
      <c r="G458" s="32"/>
      <c r="H458" s="29"/>
      <c r="I458" s="5"/>
      <c r="J458" s="5"/>
      <c r="K458" s="5"/>
    </row>
    <row r="459" spans="1:11" ht="18.75" customHeight="1" x14ac:dyDescent="0.3">
      <c r="A459" s="30">
        <v>2500</v>
      </c>
      <c r="B459" s="29"/>
      <c r="C459" s="5"/>
      <c r="D459" s="8"/>
      <c r="E459" s="28"/>
      <c r="F459" s="29"/>
      <c r="G459" s="32"/>
      <c r="H459" s="29"/>
      <c r="I459" s="5"/>
      <c r="J459" s="5"/>
      <c r="K459" s="5"/>
    </row>
    <row r="460" spans="1:11" ht="18.75" customHeight="1" x14ac:dyDescent="0.3">
      <c r="A460" s="30">
        <v>2501</v>
      </c>
      <c r="B460" s="29"/>
      <c r="C460" s="5"/>
      <c r="D460" s="8"/>
      <c r="E460" s="28"/>
      <c r="F460" s="29"/>
      <c r="G460" s="32"/>
      <c r="H460" s="29"/>
      <c r="I460" s="5"/>
      <c r="J460" s="5"/>
      <c r="K460" s="5"/>
    </row>
    <row r="461" spans="1:11" ht="18.75" customHeight="1" x14ac:dyDescent="0.3">
      <c r="A461" s="30">
        <v>2502</v>
      </c>
      <c r="B461" s="29"/>
      <c r="C461" s="5"/>
      <c r="D461" s="8"/>
      <c r="E461" s="28"/>
      <c r="F461" s="29"/>
      <c r="G461" s="32"/>
      <c r="H461" s="29"/>
      <c r="I461" s="5"/>
      <c r="J461" s="5"/>
      <c r="K461" s="5"/>
    </row>
    <row r="462" spans="1:11" ht="18.75" customHeight="1" x14ac:dyDescent="0.3">
      <c r="A462" s="30">
        <v>2503</v>
      </c>
      <c r="B462" s="29"/>
      <c r="C462" s="5"/>
      <c r="D462" s="8"/>
      <c r="E462" s="28"/>
      <c r="F462" s="29"/>
      <c r="G462" s="32"/>
      <c r="H462" s="29"/>
      <c r="I462" s="5"/>
      <c r="J462" s="5"/>
      <c r="K462" s="5"/>
    </row>
    <row r="463" spans="1:11" ht="18.75" customHeight="1" x14ac:dyDescent="0.3">
      <c r="A463" s="30">
        <v>2504</v>
      </c>
      <c r="B463" s="29"/>
      <c r="C463" s="5"/>
      <c r="D463" s="8"/>
      <c r="E463" s="28"/>
      <c r="F463" s="29"/>
      <c r="G463" s="32"/>
      <c r="H463" s="29"/>
      <c r="I463" s="5"/>
      <c r="J463" s="5"/>
      <c r="K463" s="5"/>
    </row>
    <row r="464" spans="1:11" ht="18.75" customHeight="1" x14ac:dyDescent="0.3">
      <c r="A464" s="30">
        <v>2505</v>
      </c>
      <c r="B464" s="29"/>
      <c r="C464" s="5"/>
      <c r="D464" s="8"/>
      <c r="E464" s="28"/>
      <c r="F464" s="29"/>
      <c r="G464" s="32"/>
      <c r="H464" s="29"/>
      <c r="I464" s="5"/>
      <c r="J464" s="5"/>
      <c r="K464" s="5"/>
    </row>
    <row r="465" spans="1:11" ht="18.75" customHeight="1" x14ac:dyDescent="0.3">
      <c r="A465" s="30">
        <v>2506</v>
      </c>
      <c r="B465" s="29"/>
      <c r="C465" s="5"/>
      <c r="D465" s="8"/>
      <c r="E465" s="28"/>
      <c r="F465" s="29"/>
      <c r="G465" s="32"/>
      <c r="H465" s="29"/>
      <c r="I465" s="5"/>
      <c r="J465" s="5"/>
      <c r="K465" s="5"/>
    </row>
    <row r="466" spans="1:11" ht="18.75" customHeight="1" x14ac:dyDescent="0.3">
      <c r="A466" s="30">
        <v>2507</v>
      </c>
      <c r="B466" s="29"/>
      <c r="C466" s="5"/>
      <c r="D466" s="8"/>
      <c r="E466" s="28"/>
      <c r="F466" s="29"/>
      <c r="G466" s="32"/>
      <c r="H466" s="29"/>
      <c r="I466" s="5"/>
      <c r="J466" s="5"/>
      <c r="K466" s="5"/>
    </row>
    <row r="467" spans="1:11" ht="18.75" customHeight="1" x14ac:dyDescent="0.3">
      <c r="A467" s="30">
        <v>2508</v>
      </c>
      <c r="B467" s="29"/>
      <c r="C467" s="5"/>
      <c r="D467" s="8"/>
      <c r="E467" s="28"/>
      <c r="F467" s="29"/>
      <c r="G467" s="32"/>
      <c r="H467" s="29"/>
      <c r="I467" s="5"/>
      <c r="J467" s="5"/>
      <c r="K467" s="5"/>
    </row>
    <row r="468" spans="1:11" ht="18.75" customHeight="1" x14ac:dyDescent="0.3">
      <c r="A468" s="30">
        <v>2509</v>
      </c>
      <c r="B468" s="29"/>
      <c r="C468" s="5"/>
      <c r="D468" s="8"/>
      <c r="E468" s="28"/>
      <c r="F468" s="29"/>
      <c r="G468" s="32"/>
      <c r="H468" s="29"/>
      <c r="I468" s="5"/>
      <c r="J468" s="5"/>
      <c r="K468" s="5"/>
    </row>
    <row r="469" spans="1:11" ht="18.75" customHeight="1" x14ac:dyDescent="0.3">
      <c r="A469" s="30">
        <v>2510</v>
      </c>
      <c r="B469" s="29"/>
      <c r="C469" s="5"/>
      <c r="D469" s="8"/>
      <c r="E469" s="28"/>
      <c r="F469" s="29"/>
      <c r="G469" s="32"/>
      <c r="H469" s="29"/>
      <c r="I469" s="5"/>
      <c r="J469" s="5"/>
      <c r="K469" s="5"/>
    </row>
    <row r="470" spans="1:11" ht="18.75" customHeight="1" x14ac:dyDescent="0.3">
      <c r="A470" s="30">
        <v>2511</v>
      </c>
      <c r="B470" s="29"/>
      <c r="C470" s="5"/>
      <c r="D470" s="8"/>
      <c r="E470" s="28"/>
      <c r="F470" s="29"/>
      <c r="G470" s="32"/>
      <c r="H470" s="29"/>
      <c r="I470" s="5"/>
      <c r="J470" s="5"/>
      <c r="K470" s="5"/>
    </row>
    <row r="471" spans="1:11" ht="18.75" customHeight="1" x14ac:dyDescent="0.3">
      <c r="A471" s="30">
        <v>2512</v>
      </c>
      <c r="B471" s="29"/>
      <c r="C471" s="5"/>
      <c r="D471" s="8"/>
      <c r="E471" s="28"/>
      <c r="F471" s="29"/>
      <c r="G471" s="32"/>
      <c r="H471" s="29"/>
      <c r="I471" s="5"/>
      <c r="J471" s="5"/>
      <c r="K471" s="5"/>
    </row>
    <row r="472" spans="1:11" ht="18.75" customHeight="1" x14ac:dyDescent="0.3">
      <c r="A472" s="30">
        <v>2513</v>
      </c>
      <c r="B472" s="29"/>
      <c r="C472" s="5"/>
      <c r="D472" s="8"/>
      <c r="E472" s="28"/>
      <c r="F472" s="29"/>
      <c r="G472" s="32"/>
      <c r="H472" s="29"/>
      <c r="I472" s="5"/>
      <c r="J472" s="5"/>
      <c r="K472" s="5"/>
    </row>
    <row r="473" spans="1:11" ht="18.75" customHeight="1" x14ac:dyDescent="0.3">
      <c r="A473" s="30">
        <v>2514</v>
      </c>
      <c r="B473" s="29"/>
      <c r="C473" s="5"/>
      <c r="D473" s="8"/>
      <c r="E473" s="28"/>
      <c r="F473" s="29"/>
      <c r="G473" s="32"/>
      <c r="H473" s="29"/>
      <c r="I473" s="5"/>
      <c r="J473" s="5"/>
      <c r="K473" s="5"/>
    </row>
    <row r="474" spans="1:11" ht="18.75" customHeight="1" x14ac:dyDescent="0.3">
      <c r="A474" s="30">
        <v>2515</v>
      </c>
      <c r="B474" s="29"/>
      <c r="C474" s="5"/>
      <c r="D474" s="8"/>
      <c r="E474" s="28"/>
      <c r="F474" s="29"/>
      <c r="G474" s="32"/>
      <c r="H474" s="29"/>
      <c r="I474" s="5"/>
      <c r="J474" s="5"/>
      <c r="K474" s="5"/>
    </row>
    <row r="475" spans="1:11" ht="18.75" customHeight="1" x14ac:dyDescent="0.3">
      <c r="A475" s="30">
        <v>2516</v>
      </c>
      <c r="B475" s="29"/>
      <c r="C475" s="5"/>
      <c r="D475" s="8"/>
      <c r="E475" s="28"/>
      <c r="F475" s="29"/>
      <c r="G475" s="32"/>
      <c r="H475" s="29"/>
      <c r="I475" s="5"/>
      <c r="J475" s="5"/>
      <c r="K475" s="5"/>
    </row>
    <row r="476" spans="1:11" ht="18.75" customHeight="1" x14ac:dyDescent="0.3">
      <c r="A476" s="30">
        <v>2517</v>
      </c>
      <c r="B476" s="29"/>
      <c r="C476" s="5"/>
      <c r="D476" s="8"/>
      <c r="E476" s="28"/>
      <c r="F476" s="29"/>
      <c r="G476" s="32"/>
      <c r="H476" s="29"/>
      <c r="I476" s="5"/>
      <c r="J476" s="5"/>
      <c r="K476" s="5"/>
    </row>
    <row r="477" spans="1:11" ht="18.75" customHeight="1" x14ac:dyDescent="0.3">
      <c r="A477" s="30">
        <v>2518</v>
      </c>
      <c r="B477" s="29"/>
      <c r="C477" s="5"/>
      <c r="D477" s="8"/>
      <c r="E477" s="28"/>
      <c r="F477" s="29"/>
      <c r="G477" s="32"/>
      <c r="H477" s="29"/>
      <c r="I477" s="5"/>
      <c r="J477" s="5"/>
      <c r="K477" s="5"/>
    </row>
    <row r="478" spans="1:11" ht="18.75" customHeight="1" x14ac:dyDescent="0.3">
      <c r="A478" s="30">
        <v>2519</v>
      </c>
      <c r="B478" s="29"/>
      <c r="C478" s="5"/>
      <c r="D478" s="8"/>
      <c r="E478" s="28"/>
      <c r="F478" s="29"/>
      <c r="G478" s="32"/>
      <c r="H478" s="29"/>
      <c r="I478" s="5"/>
      <c r="J478" s="5"/>
      <c r="K478" s="5"/>
    </row>
    <row r="479" spans="1:11" ht="18.75" customHeight="1" x14ac:dyDescent="0.3">
      <c r="A479" s="30">
        <v>2520</v>
      </c>
      <c r="B479" s="29"/>
      <c r="C479" s="5"/>
      <c r="D479" s="8"/>
      <c r="E479" s="28"/>
      <c r="F479" s="29"/>
      <c r="G479" s="32"/>
      <c r="H479" s="29"/>
      <c r="I479" s="5"/>
      <c r="J479" s="5"/>
      <c r="K479" s="5"/>
    </row>
    <row r="480" spans="1:11" ht="18.75" customHeight="1" x14ac:dyDescent="0.3">
      <c r="A480" s="30">
        <v>2521</v>
      </c>
      <c r="B480" s="29"/>
      <c r="C480" s="5"/>
      <c r="D480" s="8"/>
      <c r="E480" s="28"/>
      <c r="F480" s="29"/>
      <c r="G480" s="32"/>
      <c r="H480" s="29"/>
      <c r="I480" s="5"/>
      <c r="J480" s="5"/>
      <c r="K480" s="5"/>
    </row>
    <row r="481" spans="1:11" ht="18.75" customHeight="1" x14ac:dyDescent="0.3">
      <c r="A481" s="30">
        <v>2522</v>
      </c>
      <c r="B481" s="29"/>
      <c r="C481" s="5"/>
      <c r="D481" s="8"/>
      <c r="E481" s="28"/>
      <c r="F481" s="29"/>
      <c r="G481" s="32"/>
      <c r="H481" s="29"/>
      <c r="I481" s="5"/>
      <c r="J481" s="5"/>
      <c r="K481" s="5"/>
    </row>
    <row r="482" spans="1:11" ht="18.75" customHeight="1" x14ac:dyDescent="0.3">
      <c r="A482" s="30">
        <v>2523</v>
      </c>
      <c r="B482" s="29"/>
      <c r="C482" s="5"/>
      <c r="D482" s="8"/>
      <c r="E482" s="28"/>
      <c r="F482" s="29"/>
      <c r="G482" s="32"/>
      <c r="H482" s="29"/>
      <c r="I482" s="5"/>
      <c r="J482" s="5"/>
      <c r="K482" s="5"/>
    </row>
    <row r="483" spans="1:11" ht="18.75" customHeight="1" x14ac:dyDescent="0.3">
      <c r="A483" s="30">
        <v>2524</v>
      </c>
      <c r="B483" s="29"/>
      <c r="C483" s="5"/>
      <c r="D483" s="8"/>
      <c r="E483" s="28"/>
      <c r="F483" s="29"/>
      <c r="G483" s="32"/>
      <c r="H483" s="29"/>
      <c r="I483" s="5"/>
      <c r="J483" s="5"/>
      <c r="K483" s="5"/>
    </row>
    <row r="484" spans="1:11" ht="18.75" customHeight="1" x14ac:dyDescent="0.3">
      <c r="A484" s="30">
        <v>2525</v>
      </c>
      <c r="B484" s="29"/>
      <c r="C484" s="5"/>
      <c r="D484" s="8"/>
      <c r="E484" s="28"/>
      <c r="F484" s="29"/>
      <c r="G484" s="32"/>
      <c r="H484" s="29"/>
      <c r="I484" s="5"/>
      <c r="J484" s="5"/>
      <c r="K484" s="5"/>
    </row>
    <row r="485" spans="1:11" ht="18.75" customHeight="1" x14ac:dyDescent="0.3">
      <c r="A485" s="30">
        <v>2526</v>
      </c>
      <c r="B485" s="29"/>
      <c r="C485" s="5"/>
      <c r="D485" s="8"/>
      <c r="E485" s="28"/>
      <c r="F485" s="29"/>
      <c r="G485" s="32"/>
      <c r="H485" s="29"/>
      <c r="I485" s="5"/>
      <c r="J485" s="5"/>
      <c r="K485" s="5"/>
    </row>
    <row r="486" spans="1:11" ht="18.75" customHeight="1" x14ac:dyDescent="0.3">
      <c r="A486" s="30">
        <v>2527</v>
      </c>
      <c r="B486" s="29"/>
      <c r="C486" s="5"/>
      <c r="D486" s="8"/>
      <c r="E486" s="28"/>
      <c r="F486" s="29"/>
      <c r="G486" s="32"/>
      <c r="H486" s="29"/>
      <c r="I486" s="5"/>
      <c r="J486" s="5"/>
      <c r="K486" s="5"/>
    </row>
    <row r="487" spans="1:11" ht="18.75" customHeight="1" x14ac:dyDescent="0.3">
      <c r="A487" s="30">
        <v>2528</v>
      </c>
      <c r="B487" s="29"/>
      <c r="C487" s="5"/>
      <c r="D487" s="8"/>
      <c r="E487" s="28"/>
      <c r="F487" s="29"/>
      <c r="G487" s="32"/>
      <c r="H487" s="29"/>
      <c r="I487" s="5"/>
      <c r="J487" s="5"/>
      <c r="K487" s="5"/>
    </row>
    <row r="488" spans="1:11" ht="18.75" customHeight="1" x14ac:dyDescent="0.3">
      <c r="A488" s="30">
        <v>2529</v>
      </c>
      <c r="B488" s="29"/>
      <c r="C488" s="5"/>
      <c r="D488" s="8"/>
      <c r="E488" s="28"/>
      <c r="F488" s="29"/>
      <c r="G488" s="32"/>
      <c r="H488" s="29"/>
      <c r="I488" s="5"/>
      <c r="J488" s="5"/>
      <c r="K488" s="5"/>
    </row>
    <row r="489" spans="1:11" ht="18.75" customHeight="1" x14ac:dyDescent="0.3">
      <c r="A489" s="30">
        <v>2530</v>
      </c>
      <c r="B489" s="29"/>
      <c r="C489" s="5"/>
      <c r="D489" s="8"/>
      <c r="E489" s="28"/>
      <c r="F489" s="29"/>
      <c r="G489" s="32"/>
      <c r="H489" s="29"/>
      <c r="I489" s="5"/>
      <c r="J489" s="5"/>
      <c r="K489" s="5"/>
    </row>
    <row r="490" spans="1:11" ht="18.75" customHeight="1" x14ac:dyDescent="0.3">
      <c r="A490" s="30">
        <v>2531</v>
      </c>
      <c r="B490" s="29"/>
      <c r="C490" s="5"/>
      <c r="D490" s="8"/>
      <c r="E490" s="28"/>
      <c r="F490" s="29"/>
      <c r="G490" s="32"/>
      <c r="H490" s="29"/>
      <c r="I490" s="5"/>
      <c r="J490" s="5"/>
      <c r="K490" s="5"/>
    </row>
    <row r="491" spans="1:11" ht="18.75" customHeight="1" x14ac:dyDescent="0.3">
      <c r="A491" s="30">
        <v>2532</v>
      </c>
      <c r="B491" s="29"/>
      <c r="C491" s="5"/>
      <c r="D491" s="8"/>
      <c r="E491" s="28"/>
      <c r="F491" s="29"/>
      <c r="G491" s="32"/>
      <c r="H491" s="29"/>
      <c r="I491" s="5"/>
      <c r="J491" s="5"/>
      <c r="K491" s="5"/>
    </row>
    <row r="492" spans="1:11" ht="18.75" customHeight="1" x14ac:dyDescent="0.3">
      <c r="A492" s="30">
        <v>2533</v>
      </c>
      <c r="B492" s="29"/>
      <c r="C492" s="5"/>
      <c r="D492" s="8"/>
      <c r="E492" s="28"/>
      <c r="F492" s="29"/>
      <c r="G492" s="32"/>
      <c r="H492" s="29"/>
      <c r="I492" s="5"/>
      <c r="J492" s="5"/>
      <c r="K492" s="5"/>
    </row>
    <row r="493" spans="1:11" ht="18.75" customHeight="1" x14ac:dyDescent="0.3">
      <c r="A493" s="30">
        <v>2534</v>
      </c>
      <c r="B493" s="29"/>
      <c r="C493" s="5"/>
      <c r="D493" s="8"/>
      <c r="E493" s="28"/>
      <c r="F493" s="29"/>
      <c r="G493" s="32"/>
      <c r="H493" s="29"/>
      <c r="I493" s="5"/>
      <c r="J493" s="5"/>
      <c r="K493" s="5"/>
    </row>
    <row r="494" spans="1:11" ht="18.75" customHeight="1" x14ac:dyDescent="0.3">
      <c r="A494" s="30">
        <v>2535</v>
      </c>
      <c r="B494" s="29"/>
      <c r="C494" s="5"/>
      <c r="D494" s="8"/>
      <c r="E494" s="28"/>
      <c r="F494" s="29"/>
      <c r="G494" s="32"/>
      <c r="H494" s="29"/>
      <c r="I494" s="5"/>
      <c r="J494" s="5"/>
      <c r="K494" s="5"/>
    </row>
    <row r="495" spans="1:11" ht="18.75" customHeight="1" x14ac:dyDescent="0.3">
      <c r="A495" s="30">
        <v>2536</v>
      </c>
      <c r="B495" s="29"/>
      <c r="C495" s="5"/>
      <c r="D495" s="8"/>
      <c r="E495" s="28"/>
      <c r="F495" s="29"/>
      <c r="G495" s="32"/>
      <c r="H495" s="29"/>
      <c r="I495" s="5"/>
      <c r="J495" s="5"/>
      <c r="K495" s="5"/>
    </row>
    <row r="496" spans="1:11" ht="18.75" customHeight="1" x14ac:dyDescent="0.3">
      <c r="A496" s="30">
        <v>2537</v>
      </c>
      <c r="B496" s="29"/>
      <c r="C496" s="5"/>
      <c r="D496" s="8"/>
      <c r="E496" s="28"/>
      <c r="F496" s="29"/>
      <c r="G496" s="32"/>
      <c r="H496" s="29"/>
      <c r="I496" s="5"/>
      <c r="J496" s="5"/>
      <c r="K496" s="5"/>
    </row>
    <row r="497" spans="1:11" ht="18.75" customHeight="1" x14ac:dyDescent="0.3">
      <c r="A497" s="30">
        <v>2538</v>
      </c>
      <c r="B497" s="29"/>
      <c r="C497" s="5"/>
      <c r="D497" s="8"/>
      <c r="E497" s="28"/>
      <c r="F497" s="29"/>
      <c r="G497" s="32"/>
      <c r="H497" s="29"/>
      <c r="I497" s="5"/>
      <c r="J497" s="5"/>
      <c r="K497" s="5"/>
    </row>
    <row r="498" spans="1:11" ht="18.75" customHeight="1" x14ac:dyDescent="0.3">
      <c r="A498" s="30">
        <v>2539</v>
      </c>
      <c r="B498" s="29"/>
      <c r="C498" s="5"/>
      <c r="D498" s="8"/>
      <c r="E498" s="28"/>
      <c r="F498" s="29"/>
      <c r="G498" s="32"/>
      <c r="H498" s="29"/>
      <c r="I498" s="5"/>
      <c r="J498" s="5"/>
      <c r="K498" s="5"/>
    </row>
    <row r="499" spans="1:11" ht="18.75" customHeight="1" x14ac:dyDescent="0.3">
      <c r="A499" s="30">
        <v>2540</v>
      </c>
      <c r="B499" s="29"/>
      <c r="C499" s="5"/>
      <c r="D499" s="8"/>
      <c r="E499" s="28"/>
      <c r="F499" s="29"/>
      <c r="G499" s="32"/>
      <c r="H499" s="29"/>
      <c r="I499" s="5"/>
      <c r="J499" s="5"/>
      <c r="K499" s="5"/>
    </row>
    <row r="500" spans="1:11" ht="18.75" customHeight="1" x14ac:dyDescent="0.3">
      <c r="A500" s="30">
        <v>2541</v>
      </c>
      <c r="B500" s="29"/>
      <c r="C500" s="5"/>
      <c r="D500" s="8"/>
      <c r="E500" s="28"/>
      <c r="F500" s="29"/>
      <c r="G500" s="32"/>
      <c r="H500" s="29"/>
      <c r="I500" s="5"/>
      <c r="J500" s="5"/>
      <c r="K500" s="5"/>
    </row>
    <row r="501" spans="1:11" ht="18.75" customHeight="1" x14ac:dyDescent="0.3">
      <c r="A501" s="30">
        <v>2542</v>
      </c>
      <c r="B501" s="29"/>
      <c r="C501" s="5"/>
      <c r="D501" s="8"/>
      <c r="E501" s="28"/>
      <c r="F501" s="29"/>
      <c r="G501" s="32"/>
      <c r="H501" s="29"/>
      <c r="I501" s="5"/>
      <c r="J501" s="5"/>
      <c r="K501" s="5"/>
    </row>
    <row r="502" spans="1:11" ht="18.75" customHeight="1" x14ac:dyDescent="0.3">
      <c r="A502" s="30">
        <v>2543</v>
      </c>
      <c r="B502" s="29"/>
      <c r="C502" s="5"/>
      <c r="D502" s="8"/>
      <c r="E502" s="28"/>
      <c r="F502" s="29"/>
      <c r="G502" s="32"/>
      <c r="H502" s="29"/>
      <c r="I502" s="5"/>
      <c r="J502" s="5"/>
      <c r="K502" s="5"/>
    </row>
    <row r="503" spans="1:11" ht="18.75" customHeight="1" x14ac:dyDescent="0.3">
      <c r="A503" s="30">
        <v>2544</v>
      </c>
      <c r="B503" s="29"/>
      <c r="C503" s="5"/>
      <c r="D503" s="8"/>
      <c r="E503" s="28"/>
      <c r="F503" s="29"/>
      <c r="G503" s="32"/>
      <c r="H503" s="29"/>
      <c r="I503" s="5"/>
      <c r="J503" s="5"/>
      <c r="K503" s="5"/>
    </row>
    <row r="504" spans="1:11" ht="18.75" customHeight="1" x14ac:dyDescent="0.3">
      <c r="A504" s="30">
        <v>2545</v>
      </c>
      <c r="B504" s="29"/>
      <c r="C504" s="5"/>
      <c r="D504" s="8"/>
      <c r="E504" s="28"/>
      <c r="F504" s="29"/>
      <c r="G504" s="32"/>
      <c r="H504" s="29"/>
      <c r="I504" s="5"/>
      <c r="J504" s="5"/>
      <c r="K504" s="5"/>
    </row>
    <row r="505" spans="1:11" ht="18.75" customHeight="1" x14ac:dyDescent="0.3">
      <c r="A505" s="30">
        <v>2546</v>
      </c>
      <c r="B505" s="29"/>
      <c r="C505" s="5"/>
      <c r="D505" s="8"/>
      <c r="E505" s="28"/>
      <c r="F505" s="29"/>
      <c r="G505" s="32"/>
      <c r="H505" s="29"/>
      <c r="I505" s="5"/>
      <c r="J505" s="5"/>
      <c r="K505" s="5"/>
    </row>
    <row r="506" spans="1:11" ht="18.75" customHeight="1" x14ac:dyDescent="0.3">
      <c r="A506" s="30">
        <v>2547</v>
      </c>
      <c r="B506" s="29"/>
      <c r="C506" s="5"/>
      <c r="D506" s="8"/>
      <c r="E506" s="28"/>
      <c r="F506" s="29"/>
      <c r="G506" s="32"/>
      <c r="H506" s="29"/>
      <c r="I506" s="5"/>
      <c r="J506" s="5"/>
      <c r="K506" s="5"/>
    </row>
    <row r="507" spans="1:11" ht="18.75" customHeight="1" x14ac:dyDescent="0.3">
      <c r="A507" s="30">
        <v>2548</v>
      </c>
      <c r="B507" s="29"/>
      <c r="C507" s="5"/>
      <c r="D507" s="8"/>
      <c r="E507" s="28"/>
      <c r="F507" s="29"/>
      <c r="G507" s="32"/>
      <c r="H507" s="29"/>
      <c r="I507" s="5"/>
      <c r="J507" s="5"/>
      <c r="K507" s="5"/>
    </row>
    <row r="508" spans="1:11" ht="18.75" customHeight="1" x14ac:dyDescent="0.3">
      <c r="A508" s="30">
        <v>2549</v>
      </c>
      <c r="B508" s="29"/>
      <c r="C508" s="5"/>
      <c r="D508" s="8"/>
      <c r="E508" s="28"/>
      <c r="F508" s="29"/>
      <c r="G508" s="32"/>
      <c r="H508" s="29"/>
      <c r="I508" s="5"/>
      <c r="J508" s="5"/>
      <c r="K508" s="5"/>
    </row>
    <row r="509" spans="1:11" ht="18.75" customHeight="1" x14ac:dyDescent="0.3">
      <c r="A509" s="30">
        <v>2550</v>
      </c>
      <c r="B509" s="29"/>
      <c r="C509" s="5"/>
      <c r="D509" s="8"/>
      <c r="E509" s="28"/>
      <c r="F509" s="29"/>
      <c r="G509" s="32"/>
      <c r="H509" s="29"/>
      <c r="I509" s="5"/>
      <c r="J509" s="5"/>
      <c r="K509" s="5"/>
    </row>
    <row r="510" spans="1:11" ht="18.75" customHeight="1" x14ac:dyDescent="0.3">
      <c r="A510" s="30">
        <v>2551</v>
      </c>
      <c r="B510" s="29"/>
      <c r="C510" s="5"/>
      <c r="D510" s="8"/>
      <c r="E510" s="28"/>
      <c r="F510" s="29"/>
      <c r="G510" s="32"/>
      <c r="H510" s="29"/>
      <c r="I510" s="5"/>
      <c r="J510" s="5"/>
      <c r="K510" s="5"/>
    </row>
    <row r="511" spans="1:11" ht="18.75" customHeight="1" x14ac:dyDescent="0.3">
      <c r="A511" s="30">
        <v>2552</v>
      </c>
      <c r="B511" s="29"/>
      <c r="C511" s="5"/>
      <c r="D511" s="8"/>
      <c r="E511" s="28"/>
      <c r="F511" s="29"/>
      <c r="G511" s="32"/>
      <c r="H511" s="29"/>
      <c r="I511" s="5"/>
      <c r="J511" s="5"/>
      <c r="K511" s="5"/>
    </row>
    <row r="512" spans="1:11" ht="18.75" customHeight="1" x14ac:dyDescent="0.3">
      <c r="A512" s="30">
        <v>2553</v>
      </c>
      <c r="B512" s="29"/>
      <c r="C512" s="5"/>
      <c r="D512" s="8"/>
      <c r="E512" s="28"/>
      <c r="F512" s="29"/>
      <c r="G512" s="32"/>
      <c r="H512" s="29"/>
      <c r="I512" s="5"/>
      <c r="J512" s="5"/>
      <c r="K512" s="5"/>
    </row>
    <row r="513" spans="1:11" ht="18.75" customHeight="1" x14ac:dyDescent="0.3">
      <c r="A513" s="30">
        <v>2554</v>
      </c>
      <c r="B513" s="29"/>
      <c r="C513" s="5"/>
      <c r="D513" s="8"/>
      <c r="E513" s="28"/>
      <c r="F513" s="29"/>
      <c r="G513" s="32"/>
      <c r="H513" s="29"/>
      <c r="I513" s="5"/>
      <c r="J513" s="5"/>
      <c r="K513" s="5"/>
    </row>
    <row r="514" spans="1:11" ht="18.75" customHeight="1" x14ac:dyDescent="0.3">
      <c r="A514" s="30">
        <v>2555</v>
      </c>
      <c r="B514" s="29"/>
      <c r="C514" s="5"/>
      <c r="D514" s="8"/>
      <c r="E514" s="28"/>
      <c r="F514" s="29"/>
      <c r="G514" s="32"/>
      <c r="H514" s="29"/>
      <c r="I514" s="5"/>
      <c r="J514" s="5"/>
      <c r="K514" s="5"/>
    </row>
    <row r="515" spans="1:11" ht="18.75" customHeight="1" x14ac:dyDescent="0.3">
      <c r="A515" s="30">
        <v>2556</v>
      </c>
      <c r="B515" s="29"/>
      <c r="C515" s="5"/>
      <c r="D515" s="8"/>
      <c r="E515" s="28"/>
      <c r="F515" s="29"/>
      <c r="G515" s="32"/>
      <c r="H515" s="29"/>
      <c r="I515" s="5"/>
      <c r="J515" s="5"/>
      <c r="K515" s="5"/>
    </row>
    <row r="516" spans="1:11" ht="18.75" customHeight="1" x14ac:dyDescent="0.3">
      <c r="A516" s="30">
        <v>2557</v>
      </c>
      <c r="B516" s="29"/>
      <c r="C516" s="5"/>
      <c r="D516" s="8"/>
      <c r="E516" s="28"/>
      <c r="F516" s="29"/>
      <c r="G516" s="32"/>
      <c r="H516" s="29"/>
      <c r="I516" s="5"/>
      <c r="J516" s="5"/>
      <c r="K516" s="5"/>
    </row>
    <row r="517" spans="1:11" ht="18.75" customHeight="1" x14ac:dyDescent="0.3">
      <c r="A517" s="30">
        <v>2558</v>
      </c>
      <c r="B517" s="29"/>
      <c r="C517" s="5"/>
      <c r="D517" s="8"/>
      <c r="E517" s="28"/>
      <c r="F517" s="29"/>
      <c r="G517" s="32"/>
      <c r="H517" s="29"/>
      <c r="I517" s="5"/>
      <c r="J517" s="5"/>
      <c r="K517" s="5"/>
    </row>
    <row r="518" spans="1:11" ht="18.75" customHeight="1" x14ac:dyDescent="0.3">
      <c r="A518" s="30">
        <v>2559</v>
      </c>
      <c r="B518" s="29"/>
      <c r="C518" s="5"/>
      <c r="D518" s="8"/>
      <c r="E518" s="28"/>
      <c r="F518" s="29"/>
      <c r="G518" s="32"/>
      <c r="H518" s="29"/>
      <c r="I518" s="5"/>
      <c r="J518" s="5"/>
      <c r="K518" s="5"/>
    </row>
    <row r="519" spans="1:11" ht="18.75" customHeight="1" x14ac:dyDescent="0.3">
      <c r="A519" s="30">
        <v>2560</v>
      </c>
      <c r="B519" s="29"/>
      <c r="C519" s="5"/>
      <c r="D519" s="8"/>
      <c r="E519" s="28"/>
      <c r="F519" s="29"/>
      <c r="G519" s="32"/>
      <c r="H519" s="29"/>
      <c r="I519" s="5"/>
      <c r="J519" s="5"/>
      <c r="K519" s="5"/>
    </row>
    <row r="520" spans="1:11" ht="18.75" customHeight="1" x14ac:dyDescent="0.3">
      <c r="A520" s="30">
        <v>2561</v>
      </c>
      <c r="B520" s="29"/>
      <c r="C520" s="5"/>
      <c r="D520" s="8"/>
      <c r="E520" s="28"/>
      <c r="F520" s="29"/>
      <c r="G520" s="32"/>
      <c r="H520" s="29"/>
      <c r="I520" s="5"/>
      <c r="J520" s="5"/>
      <c r="K520" s="5"/>
    </row>
    <row r="521" spans="1:11" ht="18.75" customHeight="1" x14ac:dyDescent="0.3">
      <c r="A521" s="30">
        <v>2562</v>
      </c>
      <c r="B521" s="29"/>
      <c r="C521" s="5"/>
      <c r="D521" s="8"/>
      <c r="E521" s="28"/>
      <c r="F521" s="29"/>
      <c r="G521" s="32"/>
      <c r="H521" s="29"/>
      <c r="I521" s="5"/>
      <c r="J521" s="5"/>
      <c r="K521" s="5"/>
    </row>
    <row r="522" spans="1:11" ht="18.75" customHeight="1" x14ac:dyDescent="0.3">
      <c r="A522" s="30">
        <v>2563</v>
      </c>
      <c r="B522" s="29"/>
      <c r="C522" s="5"/>
      <c r="D522" s="8"/>
      <c r="E522" s="28"/>
      <c r="F522" s="29"/>
      <c r="G522" s="32"/>
      <c r="H522" s="29"/>
      <c r="I522" s="5"/>
      <c r="J522" s="5"/>
      <c r="K522" s="5"/>
    </row>
    <row r="523" spans="1:11" ht="18.75" customHeight="1" x14ac:dyDescent="0.3">
      <c r="A523" s="30">
        <v>2564</v>
      </c>
      <c r="B523" s="29"/>
      <c r="C523" s="5"/>
      <c r="D523" s="8"/>
      <c r="E523" s="28"/>
      <c r="F523" s="29"/>
      <c r="G523" s="32"/>
      <c r="H523" s="29"/>
      <c r="I523" s="5"/>
      <c r="J523" s="5"/>
      <c r="K523" s="5"/>
    </row>
    <row r="524" spans="1:11" ht="18.75" customHeight="1" x14ac:dyDescent="0.3">
      <c r="A524" s="30">
        <v>2565</v>
      </c>
      <c r="B524" s="29"/>
      <c r="C524" s="5"/>
      <c r="D524" s="8"/>
      <c r="E524" s="28"/>
      <c r="F524" s="29"/>
      <c r="G524" s="32"/>
      <c r="H524" s="29"/>
      <c r="I524" s="5"/>
      <c r="J524" s="5"/>
      <c r="K524" s="5"/>
    </row>
    <row r="525" spans="1:11" ht="18.75" customHeight="1" x14ac:dyDescent="0.3">
      <c r="A525" s="30">
        <v>2566</v>
      </c>
      <c r="B525" s="29"/>
      <c r="C525" s="5"/>
      <c r="D525" s="8"/>
      <c r="E525" s="28"/>
      <c r="F525" s="29"/>
      <c r="G525" s="32"/>
      <c r="H525" s="29"/>
      <c r="I525" s="5"/>
      <c r="J525" s="5"/>
      <c r="K525" s="5"/>
    </row>
    <row r="526" spans="1:11" ht="18.75" customHeight="1" x14ac:dyDescent="0.3">
      <c r="A526" s="30">
        <v>2567</v>
      </c>
      <c r="B526" s="29"/>
      <c r="C526" s="5"/>
      <c r="D526" s="8"/>
      <c r="E526" s="28"/>
      <c r="F526" s="29"/>
      <c r="G526" s="32"/>
      <c r="H526" s="29"/>
      <c r="I526" s="5"/>
      <c r="J526" s="5"/>
      <c r="K526" s="5"/>
    </row>
    <row r="527" spans="1:11" ht="18.75" customHeight="1" x14ac:dyDescent="0.3">
      <c r="A527" s="30">
        <v>2568</v>
      </c>
      <c r="B527" s="29"/>
      <c r="C527" s="5"/>
      <c r="D527" s="8"/>
      <c r="E527" s="28"/>
      <c r="F527" s="29"/>
      <c r="G527" s="32"/>
      <c r="H527" s="29"/>
      <c r="I527" s="5"/>
      <c r="J527" s="5"/>
      <c r="K527" s="5"/>
    </row>
    <row r="528" spans="1:11" ht="18.75" customHeight="1" x14ac:dyDescent="0.3">
      <c r="A528" s="30">
        <v>2569</v>
      </c>
      <c r="B528" s="29"/>
      <c r="C528" s="5"/>
      <c r="D528" s="8"/>
      <c r="E528" s="28"/>
      <c r="F528" s="29"/>
      <c r="G528" s="32"/>
      <c r="H528" s="29"/>
      <c r="I528" s="5"/>
      <c r="J528" s="5"/>
      <c r="K528" s="5"/>
    </row>
    <row r="529" spans="1:11" ht="18.75" customHeight="1" x14ac:dyDescent="0.3">
      <c r="A529" s="30">
        <v>2570</v>
      </c>
      <c r="B529" s="29"/>
      <c r="C529" s="5"/>
      <c r="D529" s="8"/>
      <c r="E529" s="28"/>
      <c r="F529" s="29"/>
      <c r="G529" s="32"/>
      <c r="H529" s="29"/>
      <c r="I529" s="5"/>
      <c r="J529" s="5"/>
      <c r="K529" s="5"/>
    </row>
    <row r="530" spans="1:11" ht="18.75" customHeight="1" x14ac:dyDescent="0.3">
      <c r="A530" s="30">
        <v>2571</v>
      </c>
      <c r="B530" s="29"/>
      <c r="C530" s="5"/>
      <c r="D530" s="8"/>
      <c r="E530" s="28"/>
      <c r="F530" s="29"/>
      <c r="G530" s="32"/>
      <c r="H530" s="29"/>
      <c r="I530" s="5"/>
      <c r="J530" s="5"/>
      <c r="K530" s="5"/>
    </row>
    <row r="531" spans="1:11" ht="18.75" customHeight="1" x14ac:dyDescent="0.3">
      <c r="A531" s="30">
        <v>2572</v>
      </c>
      <c r="B531" s="29"/>
      <c r="C531" s="5"/>
      <c r="D531" s="8"/>
      <c r="E531" s="28"/>
      <c r="F531" s="29"/>
      <c r="G531" s="32"/>
      <c r="H531" s="29"/>
      <c r="I531" s="5"/>
      <c r="J531" s="5"/>
      <c r="K531" s="5"/>
    </row>
    <row r="532" spans="1:11" ht="18.75" customHeight="1" x14ac:dyDescent="0.3">
      <c r="A532" s="30">
        <v>2573</v>
      </c>
      <c r="B532" s="29"/>
      <c r="C532" s="5"/>
      <c r="D532" s="8"/>
      <c r="E532" s="28"/>
      <c r="F532" s="29"/>
      <c r="G532" s="32"/>
      <c r="H532" s="29"/>
      <c r="I532" s="5"/>
      <c r="J532" s="5"/>
      <c r="K532" s="5"/>
    </row>
    <row r="533" spans="1:11" ht="18.75" customHeight="1" x14ac:dyDescent="0.3">
      <c r="A533" s="30">
        <v>2574</v>
      </c>
      <c r="B533" s="29"/>
      <c r="C533" s="5"/>
      <c r="D533" s="8"/>
      <c r="E533" s="28"/>
      <c r="F533" s="29"/>
      <c r="G533" s="32"/>
      <c r="H533" s="29"/>
      <c r="I533" s="5"/>
      <c r="J533" s="5"/>
      <c r="K533" s="5"/>
    </row>
    <row r="534" spans="1:11" ht="18.75" customHeight="1" x14ac:dyDescent="0.3">
      <c r="A534" s="30">
        <v>2575</v>
      </c>
      <c r="B534" s="29"/>
      <c r="C534" s="5"/>
      <c r="D534" s="8"/>
      <c r="E534" s="28"/>
      <c r="F534" s="29"/>
      <c r="G534" s="32"/>
      <c r="H534" s="29"/>
      <c r="I534" s="5"/>
      <c r="J534" s="5"/>
      <c r="K534" s="5"/>
    </row>
    <row r="535" spans="1:11" ht="18.75" customHeight="1" x14ac:dyDescent="0.3">
      <c r="A535" s="30">
        <v>2576</v>
      </c>
      <c r="B535" s="29"/>
      <c r="C535" s="5"/>
      <c r="D535" s="8"/>
      <c r="E535" s="28"/>
      <c r="F535" s="29"/>
      <c r="G535" s="32"/>
      <c r="H535" s="29"/>
      <c r="I535" s="5"/>
      <c r="J535" s="5"/>
      <c r="K535" s="5"/>
    </row>
    <row r="536" spans="1:11" ht="18.75" customHeight="1" x14ac:dyDescent="0.3">
      <c r="A536" s="30">
        <v>2577</v>
      </c>
      <c r="B536" s="29"/>
      <c r="C536" s="5"/>
      <c r="D536" s="8"/>
      <c r="E536" s="28"/>
      <c r="F536" s="29"/>
      <c r="G536" s="32"/>
      <c r="H536" s="29"/>
      <c r="I536" s="5"/>
      <c r="J536" s="5"/>
      <c r="K536" s="5"/>
    </row>
    <row r="537" spans="1:11" ht="18.75" customHeight="1" x14ac:dyDescent="0.3">
      <c r="A537" s="30">
        <v>2578</v>
      </c>
      <c r="B537" s="29"/>
      <c r="C537" s="5"/>
      <c r="D537" s="8"/>
      <c r="E537" s="28"/>
      <c r="F537" s="29"/>
      <c r="G537" s="32"/>
      <c r="H537" s="29"/>
      <c r="I537" s="5"/>
      <c r="J537" s="5"/>
      <c r="K537" s="5"/>
    </row>
    <row r="538" spans="1:11" ht="18.75" customHeight="1" x14ac:dyDescent="0.3">
      <c r="A538" s="30">
        <v>2579</v>
      </c>
      <c r="B538" s="29"/>
      <c r="C538" s="5"/>
      <c r="D538" s="8"/>
      <c r="E538" s="28"/>
      <c r="F538" s="29"/>
      <c r="G538" s="32"/>
      <c r="H538" s="29"/>
      <c r="I538" s="5"/>
      <c r="J538" s="5"/>
      <c r="K538" s="5"/>
    </row>
    <row r="539" spans="1:11" ht="18.75" customHeight="1" x14ac:dyDescent="0.3">
      <c r="A539" s="30">
        <v>2580</v>
      </c>
      <c r="B539" s="29"/>
      <c r="C539" s="5"/>
      <c r="D539" s="8"/>
      <c r="E539" s="28"/>
      <c r="F539" s="29"/>
      <c r="G539" s="32"/>
      <c r="H539" s="29"/>
      <c r="I539" s="5"/>
      <c r="J539" s="5"/>
      <c r="K539" s="5"/>
    </row>
    <row r="540" spans="1:11" ht="18.75" customHeight="1" x14ac:dyDescent="0.3">
      <c r="A540" s="30">
        <v>2581</v>
      </c>
      <c r="B540" s="29"/>
      <c r="C540" s="5"/>
      <c r="D540" s="8"/>
      <c r="E540" s="28"/>
      <c r="F540" s="29"/>
      <c r="G540" s="32"/>
      <c r="H540" s="29"/>
      <c r="I540" s="5"/>
      <c r="J540" s="5"/>
      <c r="K540" s="5"/>
    </row>
    <row r="541" spans="1:11" ht="18.75" customHeight="1" x14ac:dyDescent="0.3">
      <c r="A541" s="30">
        <v>2582</v>
      </c>
      <c r="B541" s="29"/>
      <c r="C541" s="5"/>
      <c r="D541" s="8"/>
      <c r="E541" s="28"/>
      <c r="F541" s="29"/>
      <c r="G541" s="32"/>
      <c r="H541" s="29"/>
      <c r="I541" s="5"/>
      <c r="J541" s="5"/>
      <c r="K541" s="5"/>
    </row>
    <row r="542" spans="1:11" ht="18.75" customHeight="1" x14ac:dyDescent="0.3">
      <c r="A542" s="30">
        <v>2583</v>
      </c>
      <c r="B542" s="29"/>
      <c r="C542" s="5"/>
      <c r="D542" s="8"/>
      <c r="E542" s="28"/>
      <c r="F542" s="29"/>
      <c r="G542" s="32"/>
      <c r="H542" s="29"/>
      <c r="I542" s="5"/>
      <c r="J542" s="5"/>
      <c r="K542" s="5"/>
    </row>
    <row r="543" spans="1:11" ht="18.75" customHeight="1" x14ac:dyDescent="0.3">
      <c r="A543" s="30">
        <v>2584</v>
      </c>
      <c r="B543" s="29"/>
      <c r="C543" s="5"/>
      <c r="D543" s="8"/>
      <c r="E543" s="28"/>
      <c r="F543" s="29"/>
      <c r="G543" s="32"/>
      <c r="H543" s="29"/>
      <c r="I543" s="5"/>
      <c r="J543" s="5"/>
      <c r="K543" s="5"/>
    </row>
    <row r="544" spans="1:11" ht="18.75" customHeight="1" x14ac:dyDescent="0.3">
      <c r="A544" s="30">
        <v>2585</v>
      </c>
      <c r="B544" s="29"/>
      <c r="C544" s="5"/>
      <c r="D544" s="8"/>
      <c r="E544" s="28"/>
      <c r="F544" s="29"/>
      <c r="G544" s="32"/>
      <c r="H544" s="29"/>
      <c r="I544" s="5"/>
      <c r="J544" s="5"/>
      <c r="K544" s="5"/>
    </row>
    <row r="545" spans="1:11" ht="18.75" customHeight="1" x14ac:dyDescent="0.3">
      <c r="A545" s="30">
        <v>2586</v>
      </c>
      <c r="B545" s="29"/>
      <c r="C545" s="5"/>
      <c r="D545" s="8"/>
      <c r="E545" s="28"/>
      <c r="F545" s="29"/>
      <c r="G545" s="32"/>
      <c r="H545" s="29"/>
      <c r="I545" s="5"/>
      <c r="J545" s="5"/>
      <c r="K545" s="5"/>
    </row>
    <row r="546" spans="1:11" ht="18.75" customHeight="1" x14ac:dyDescent="0.3">
      <c r="A546" s="30">
        <v>2587</v>
      </c>
      <c r="B546" s="29"/>
      <c r="C546" s="5"/>
      <c r="D546" s="8"/>
      <c r="E546" s="28"/>
      <c r="F546" s="29"/>
      <c r="G546" s="32"/>
      <c r="H546" s="29"/>
      <c r="I546" s="5"/>
      <c r="J546" s="5"/>
      <c r="K546" s="5"/>
    </row>
    <row r="547" spans="1:11" ht="18.75" customHeight="1" x14ac:dyDescent="0.3">
      <c r="A547" s="30">
        <v>2588</v>
      </c>
      <c r="B547" s="29"/>
      <c r="C547" s="5"/>
      <c r="D547" s="8"/>
      <c r="E547" s="28"/>
      <c r="F547" s="29"/>
      <c r="G547" s="32"/>
      <c r="H547" s="29"/>
      <c r="I547" s="5"/>
      <c r="J547" s="5"/>
      <c r="K547" s="5"/>
    </row>
    <row r="548" spans="1:11" ht="18.75" customHeight="1" x14ac:dyDescent="0.3">
      <c r="A548" s="30">
        <v>2589</v>
      </c>
      <c r="B548" s="29"/>
      <c r="C548" s="5"/>
      <c r="D548" s="8"/>
      <c r="E548" s="28"/>
      <c r="F548" s="29"/>
      <c r="G548" s="32"/>
      <c r="H548" s="29"/>
      <c r="I548" s="5"/>
      <c r="J548" s="5"/>
      <c r="K548" s="5"/>
    </row>
    <row r="549" spans="1:11" ht="18.75" customHeight="1" x14ac:dyDescent="0.3">
      <c r="A549" s="30">
        <v>2590</v>
      </c>
      <c r="B549" s="29"/>
      <c r="C549" s="5"/>
      <c r="D549" s="8"/>
      <c r="E549" s="28"/>
      <c r="F549" s="29"/>
      <c r="G549" s="32"/>
      <c r="H549" s="29"/>
      <c r="I549" s="5"/>
      <c r="J549" s="5"/>
      <c r="K549" s="5"/>
    </row>
    <row r="550" spans="1:11" ht="18.75" customHeight="1" x14ac:dyDescent="0.3">
      <c r="A550" s="30">
        <v>2591</v>
      </c>
      <c r="B550" s="29"/>
      <c r="C550" s="5"/>
      <c r="D550" s="8"/>
      <c r="E550" s="28"/>
      <c r="F550" s="29"/>
      <c r="G550" s="32"/>
      <c r="H550" s="29"/>
      <c r="I550" s="5"/>
      <c r="J550" s="5"/>
      <c r="K550" s="5"/>
    </row>
    <row r="551" spans="1:11" ht="18.75" customHeight="1" x14ac:dyDescent="0.3">
      <c r="A551" s="30">
        <v>2592</v>
      </c>
      <c r="B551" s="29"/>
      <c r="C551" s="5"/>
      <c r="D551" s="8"/>
      <c r="E551" s="28"/>
      <c r="F551" s="29"/>
      <c r="G551" s="32"/>
      <c r="H551" s="29"/>
      <c r="I551" s="5"/>
      <c r="J551" s="5"/>
      <c r="K551" s="5"/>
    </row>
    <row r="552" spans="1:11" ht="18.75" customHeight="1" x14ac:dyDescent="0.3">
      <c r="A552" s="30">
        <v>2593</v>
      </c>
      <c r="B552" s="29"/>
      <c r="C552" s="5"/>
      <c r="D552" s="8"/>
      <c r="E552" s="28"/>
      <c r="F552" s="29"/>
      <c r="G552" s="32"/>
      <c r="H552" s="29"/>
      <c r="I552" s="5"/>
      <c r="J552" s="5"/>
      <c r="K552" s="5"/>
    </row>
    <row r="553" spans="1:11" ht="18.75" customHeight="1" x14ac:dyDescent="0.3">
      <c r="A553" s="30">
        <v>2594</v>
      </c>
      <c r="B553" s="29"/>
      <c r="C553" s="5"/>
      <c r="D553" s="8"/>
      <c r="E553" s="28"/>
      <c r="F553" s="29"/>
      <c r="G553" s="32"/>
      <c r="H553" s="29"/>
      <c r="I553" s="5"/>
      <c r="J553" s="5"/>
      <c r="K553" s="5"/>
    </row>
    <row r="554" spans="1:11" ht="18.75" customHeight="1" x14ac:dyDescent="0.3">
      <c r="A554" s="30">
        <v>2595</v>
      </c>
      <c r="B554" s="29"/>
      <c r="C554" s="5"/>
      <c r="D554" s="8"/>
      <c r="E554" s="28"/>
      <c r="F554" s="29"/>
      <c r="G554" s="32"/>
      <c r="H554" s="29"/>
      <c r="I554" s="5"/>
      <c r="J554" s="5"/>
      <c r="K554" s="5"/>
    </row>
    <row r="555" spans="1:11" ht="18.75" customHeight="1" x14ac:dyDescent="0.3">
      <c r="A555" s="30">
        <v>2596</v>
      </c>
      <c r="B555" s="29"/>
      <c r="C555" s="5"/>
      <c r="D555" s="8"/>
      <c r="E555" s="28"/>
      <c r="F555" s="29"/>
      <c r="G555" s="32"/>
      <c r="H555" s="29"/>
      <c r="I555" s="5"/>
      <c r="J555" s="5"/>
      <c r="K555" s="5"/>
    </row>
    <row r="556" spans="1:11" ht="18.75" customHeight="1" x14ac:dyDescent="0.3">
      <c r="A556" s="30">
        <v>2597</v>
      </c>
      <c r="B556" s="29"/>
      <c r="C556" s="5"/>
      <c r="D556" s="8"/>
      <c r="E556" s="28"/>
      <c r="F556" s="29"/>
      <c r="G556" s="32"/>
      <c r="H556" s="29"/>
      <c r="I556" s="5"/>
      <c r="J556" s="5"/>
      <c r="K556" s="5"/>
    </row>
    <row r="557" spans="1:11" ht="18.75" customHeight="1" x14ac:dyDescent="0.3">
      <c r="A557" s="30">
        <v>2598</v>
      </c>
      <c r="B557" s="29"/>
      <c r="C557" s="5"/>
      <c r="D557" s="8"/>
      <c r="E557" s="28"/>
      <c r="F557" s="29"/>
      <c r="G557" s="32"/>
      <c r="H557" s="29"/>
      <c r="I557" s="5"/>
      <c r="J557" s="5"/>
      <c r="K557" s="5"/>
    </row>
  </sheetData>
  <mergeCells count="1660">
    <mergeCell ref="E7:F7"/>
    <mergeCell ref="E330:F330"/>
    <mergeCell ref="A170:B170"/>
    <mergeCell ref="E305:F305"/>
    <mergeCell ref="G63:H63"/>
    <mergeCell ref="G553:H553"/>
    <mergeCell ref="G96:H96"/>
    <mergeCell ref="E332:F332"/>
    <mergeCell ref="E307:F307"/>
    <mergeCell ref="A201:B201"/>
    <mergeCell ref="G98:H98"/>
    <mergeCell ref="G396:H396"/>
    <mergeCell ref="G390:H390"/>
    <mergeCell ref="G548:H548"/>
    <mergeCell ref="A221:B221"/>
    <mergeCell ref="A196:B196"/>
    <mergeCell ref="G93:H93"/>
    <mergeCell ref="E60:F60"/>
    <mergeCell ref="A223:B223"/>
    <mergeCell ref="A198:B198"/>
    <mergeCell ref="G124:H124"/>
    <mergeCell ref="E360:F360"/>
    <mergeCell ref="E45:F45"/>
    <mergeCell ref="A254:B254"/>
    <mergeCell ref="A125:B125"/>
    <mergeCell ref="G424:H424"/>
    <mergeCell ref="G109:H109"/>
    <mergeCell ref="E345:F345"/>
    <mergeCell ref="G119:H119"/>
    <mergeCell ref="G295:H295"/>
    <mergeCell ref="A127:B127"/>
    <mergeCell ref="G453:H453"/>
    <mergeCell ref="G24:H24"/>
    <mergeCell ref="E260:F260"/>
    <mergeCell ref="G322:H322"/>
    <mergeCell ref="G26:H26"/>
    <mergeCell ref="G324:H324"/>
    <mergeCell ref="A460:B460"/>
    <mergeCell ref="G482:H482"/>
    <mergeCell ref="A155:B155"/>
    <mergeCell ref="E407:F407"/>
    <mergeCell ref="A157:B157"/>
    <mergeCell ref="A455:B455"/>
    <mergeCell ref="G42:H42"/>
    <mergeCell ref="A457:B457"/>
    <mergeCell ref="E408:F408"/>
    <mergeCell ref="G166:H166"/>
    <mergeCell ref="E402:F402"/>
    <mergeCell ref="G464:H464"/>
    <mergeCell ref="E103:F103"/>
    <mergeCell ref="G377:H377"/>
    <mergeCell ref="G352:H352"/>
    <mergeCell ref="E279:F279"/>
    <mergeCell ref="G37:H37"/>
    <mergeCell ref="E437:F437"/>
    <mergeCell ref="G466:H466"/>
    <mergeCell ref="G167:H167"/>
    <mergeCell ref="A175:B175"/>
    <mergeCell ref="A297:B297"/>
    <mergeCell ref="A185:B185"/>
    <mergeCell ref="E32:F32"/>
    <mergeCell ref="G409:H409"/>
    <mergeCell ref="A214:B214"/>
    <mergeCell ref="E34:F34"/>
    <mergeCell ref="A390:B390"/>
    <mergeCell ref="A512:B512"/>
    <mergeCell ref="G397:H397"/>
    <mergeCell ref="A85:B85"/>
    <mergeCell ref="G555:H555"/>
    <mergeCell ref="E36:F36"/>
    <mergeCell ref="E334:F334"/>
    <mergeCell ref="G557:H557"/>
    <mergeCell ref="G100:H100"/>
    <mergeCell ref="E336:F336"/>
    <mergeCell ref="G94:H94"/>
    <mergeCell ref="A230:B230"/>
    <mergeCell ref="G311:H311"/>
    <mergeCell ref="G102:H102"/>
    <mergeCell ref="A232:B232"/>
    <mergeCell ref="A530:B530"/>
    <mergeCell ref="A225:B225"/>
    <mergeCell ref="A532:B532"/>
    <mergeCell ref="A227:B227"/>
    <mergeCell ref="A444:B444"/>
    <mergeCell ref="G451:H451"/>
    <mergeCell ref="A556:B556"/>
    <mergeCell ref="E266:F266"/>
    <mergeCell ref="G500:H500"/>
    <mergeCell ref="A508:B508"/>
    <mergeCell ref="A483:B483"/>
    <mergeCell ref="G526:H526"/>
    <mergeCell ref="A554:B554"/>
    <mergeCell ref="E555:F555"/>
    <mergeCell ref="G313:H313"/>
    <mergeCell ref="E549:F549"/>
    <mergeCell ref="G305:H305"/>
    <mergeCell ref="G315:H315"/>
    <mergeCell ref="A147:B147"/>
    <mergeCell ref="A451:B451"/>
    <mergeCell ref="A445:B445"/>
    <mergeCell ref="E396:F396"/>
    <mergeCell ref="E267:F267"/>
    <mergeCell ref="E425:F425"/>
    <mergeCell ref="A148:B148"/>
    <mergeCell ref="A446:B446"/>
    <mergeCell ref="E269:F269"/>
    <mergeCell ref="E262:F262"/>
    <mergeCell ref="G53:H53"/>
    <mergeCell ref="G28:H28"/>
    <mergeCell ref="G326:H326"/>
    <mergeCell ref="A158:B158"/>
    <mergeCell ref="G239:H239"/>
    <mergeCell ref="G30:H30"/>
    <mergeCell ref="G353:H353"/>
    <mergeCell ref="A160:B160"/>
    <mergeCell ref="A464:B464"/>
    <mergeCell ref="E409:F409"/>
    <mergeCell ref="A377:B377"/>
    <mergeCell ref="A159:B159"/>
    <mergeCell ref="G384:H384"/>
    <mergeCell ref="A72:B72"/>
    <mergeCell ref="E199:F199"/>
    <mergeCell ref="A161:B161"/>
    <mergeCell ref="E321:F321"/>
    <mergeCell ref="A546:B546"/>
    <mergeCell ref="G287:H287"/>
    <mergeCell ref="A119:B119"/>
    <mergeCell ref="A94:B94"/>
    <mergeCell ref="E254:F254"/>
    <mergeCell ref="A417:B417"/>
    <mergeCell ref="A548:B548"/>
    <mergeCell ref="A427:B427"/>
    <mergeCell ref="G289:H289"/>
    <mergeCell ref="A419:B419"/>
    <mergeCell ref="E554:F554"/>
    <mergeCell ref="G13:H13"/>
    <mergeCell ref="E249:F249"/>
    <mergeCell ref="A418:B418"/>
    <mergeCell ref="G314:H314"/>
    <mergeCell ref="E241:F241"/>
    <mergeCell ref="E539:F539"/>
    <mergeCell ref="E257:F257"/>
    <mergeCell ref="G15:H15"/>
    <mergeCell ref="E497:F497"/>
    <mergeCell ref="G255:H255"/>
    <mergeCell ref="A459:B459"/>
    <mergeCell ref="E192:F192"/>
    <mergeCell ref="E323:F323"/>
    <mergeCell ref="G81:H81"/>
    <mergeCell ref="E499:F499"/>
    <mergeCell ref="G379:H379"/>
    <mergeCell ref="E194:F194"/>
    <mergeCell ref="A88:B88"/>
    <mergeCell ref="G387:H387"/>
    <mergeCell ref="G381:H381"/>
    <mergeCell ref="A517:B517"/>
    <mergeCell ref="G520:H520"/>
    <mergeCell ref="A17:B17"/>
    <mergeCell ref="E457:F457"/>
    <mergeCell ref="A53:B53"/>
    <mergeCell ref="G215:H215"/>
    <mergeCell ref="A324:B324"/>
    <mergeCell ref="A482:B482"/>
    <mergeCell ref="A19:B19"/>
    <mergeCell ref="E146:F146"/>
    <mergeCell ref="A353:B353"/>
    <mergeCell ref="E298:F298"/>
    <mergeCell ref="A48:B48"/>
    <mergeCell ref="A319:B319"/>
    <mergeCell ref="A477:B477"/>
    <mergeCell ref="E175:F175"/>
    <mergeCell ref="E297:F297"/>
    <mergeCell ref="G362:H362"/>
    <mergeCell ref="E185:F185"/>
    <mergeCell ref="A79:B79"/>
    <mergeCell ref="G241:H241"/>
    <mergeCell ref="E299:F299"/>
    <mergeCell ref="G355:H355"/>
    <mergeCell ref="G243:H243"/>
    <mergeCell ref="E170:F170"/>
    <mergeCell ref="A37:B37"/>
    <mergeCell ref="A379:B379"/>
    <mergeCell ref="A493:B493"/>
    <mergeCell ref="A381:B381"/>
    <mergeCell ref="E201:F201"/>
    <mergeCell ref="G388:H388"/>
    <mergeCell ref="A63:B63"/>
    <mergeCell ref="E223:F223"/>
    <mergeCell ref="E530:F530"/>
    <mergeCell ref="G419:H419"/>
    <mergeCell ref="G207:H207"/>
    <mergeCell ref="G505:H505"/>
    <mergeCell ref="E225:F225"/>
    <mergeCell ref="E532:F532"/>
    <mergeCell ref="G200:H200"/>
    <mergeCell ref="G507:H507"/>
    <mergeCell ref="E227:F227"/>
    <mergeCell ref="A121:B121"/>
    <mergeCell ref="E444:F444"/>
    <mergeCell ref="G202:H202"/>
    <mergeCell ref="A550:B550"/>
    <mergeCell ref="G291:H291"/>
    <mergeCell ref="A421:B421"/>
    <mergeCell ref="A304:B304"/>
    <mergeCell ref="G502:H502"/>
    <mergeCell ref="G347:H347"/>
    <mergeCell ref="E156:F156"/>
    <mergeCell ref="E460:F460"/>
    <mergeCell ref="E128:F128"/>
    <mergeCell ref="A335:B335"/>
    <mergeCell ref="E155:F155"/>
    <mergeCell ref="E426:F426"/>
    <mergeCell ref="G184:H184"/>
    <mergeCell ref="E462:F462"/>
    <mergeCell ref="G220:H220"/>
    <mergeCell ref="G342:H342"/>
    <mergeCell ref="E157:F157"/>
    <mergeCell ref="E428:F428"/>
    <mergeCell ref="G222:H222"/>
    <mergeCell ref="G344:H344"/>
    <mergeCell ref="A239:B239"/>
    <mergeCell ref="E59:F59"/>
    <mergeCell ref="A21:B21"/>
    <mergeCell ref="A57:B57"/>
    <mergeCell ref="E61:F61"/>
    <mergeCell ref="A23:B23"/>
    <mergeCell ref="E359:F359"/>
    <mergeCell ref="E517:F517"/>
    <mergeCell ref="E54:F54"/>
    <mergeCell ref="E212:F212"/>
    <mergeCell ref="E519:F519"/>
    <mergeCell ref="G277:H277"/>
    <mergeCell ref="E56:F56"/>
    <mergeCell ref="E214:F214"/>
    <mergeCell ref="G276:H276"/>
    <mergeCell ref="E512:F512"/>
    <mergeCell ref="G120:H120"/>
    <mergeCell ref="A250:B250"/>
    <mergeCell ref="G278:H278"/>
    <mergeCell ref="A110:B110"/>
    <mergeCell ref="A408:B408"/>
    <mergeCell ref="A410:B410"/>
    <mergeCell ref="E230:F230"/>
    <mergeCell ref="E232:F232"/>
    <mergeCell ref="A92:B92"/>
    <mergeCell ref="A54:B54"/>
    <mergeCell ref="E494:F494"/>
    <mergeCell ref="A90:B90"/>
    <mergeCell ref="A212:B212"/>
    <mergeCell ref="A388:B388"/>
    <mergeCell ref="A519:B519"/>
    <mergeCell ref="A56:B56"/>
    <mergeCell ref="A2:K2"/>
    <mergeCell ref="E119:F119"/>
    <mergeCell ref="A140:B140"/>
    <mergeCell ref="E548:F548"/>
    <mergeCell ref="E91:F91"/>
    <mergeCell ref="E85:F85"/>
    <mergeCell ref="E389:F389"/>
    <mergeCell ref="G183:H183"/>
    <mergeCell ref="E419:F419"/>
    <mergeCell ref="E93:F93"/>
    <mergeCell ref="G193:H193"/>
    <mergeCell ref="E391:F391"/>
    <mergeCell ref="G149:H149"/>
    <mergeCell ref="G185:H185"/>
    <mergeCell ref="G483:H483"/>
    <mergeCell ref="E122:F122"/>
    <mergeCell ref="G151:H151"/>
    <mergeCell ref="E420:F420"/>
    <mergeCell ref="G178:H178"/>
    <mergeCell ref="A287:B287"/>
    <mergeCell ref="G449:H449"/>
    <mergeCell ref="A281:B281"/>
    <mergeCell ref="E416:F416"/>
    <mergeCell ref="E147:F147"/>
    <mergeCell ref="G209:H209"/>
    <mergeCell ref="A316:B316"/>
    <mergeCell ref="E445:F445"/>
    <mergeCell ref="E451:F451"/>
    <mergeCell ref="A282:B282"/>
    <mergeCell ref="G175:H175"/>
    <mergeCell ref="G509:H509"/>
    <mergeCell ref="G177:H177"/>
    <mergeCell ref="G538:H538"/>
    <mergeCell ref="E19:F19"/>
    <mergeCell ref="G540:H540"/>
    <mergeCell ref="G83:H83"/>
    <mergeCell ref="E319:F319"/>
    <mergeCell ref="A213:B213"/>
    <mergeCell ref="E477:F477"/>
    <mergeCell ref="G235:H235"/>
    <mergeCell ref="A215:B215"/>
    <mergeCell ref="A513:B513"/>
    <mergeCell ref="A373:B373"/>
    <mergeCell ref="E464:F464"/>
    <mergeCell ref="E37:F37"/>
    <mergeCell ref="E159:F159"/>
    <mergeCell ref="E493:F493"/>
    <mergeCell ref="E47:F47"/>
    <mergeCell ref="E406:F406"/>
    <mergeCell ref="E459:F459"/>
    <mergeCell ref="G136:H136"/>
    <mergeCell ref="G434:H434"/>
    <mergeCell ref="A241:B241"/>
    <mergeCell ref="G470:H470"/>
    <mergeCell ref="A355:B355"/>
    <mergeCell ref="G436:H436"/>
    <mergeCell ref="A243:B243"/>
    <mergeCell ref="E63:F63"/>
    <mergeCell ref="A236:B236"/>
    <mergeCell ref="G465:H465"/>
    <mergeCell ref="E104:F104"/>
    <mergeCell ref="G204:H204"/>
    <mergeCell ref="A313:B313"/>
    <mergeCell ref="G475:H475"/>
    <mergeCell ref="E6:F6"/>
    <mergeCell ref="E304:F304"/>
    <mergeCell ref="E95:F95"/>
    <mergeCell ref="G369:H369"/>
    <mergeCell ref="E89:F89"/>
    <mergeCell ref="E393:F393"/>
    <mergeCell ref="G527:H527"/>
    <mergeCell ref="E306:F306"/>
    <mergeCell ref="G64:H64"/>
    <mergeCell ref="G368:H368"/>
    <mergeCell ref="A200:B200"/>
    <mergeCell ref="G153:H153"/>
    <mergeCell ref="A202:B202"/>
    <mergeCell ref="G364:H364"/>
    <mergeCell ref="A500:B500"/>
    <mergeCell ref="E24:F24"/>
    <mergeCell ref="A502:B502"/>
    <mergeCell ref="E322:F322"/>
    <mergeCell ref="A197:B197"/>
    <mergeCell ref="E17:F17"/>
    <mergeCell ref="E324:F324"/>
    <mergeCell ref="G82:H82"/>
    <mergeCell ref="E482:F482"/>
    <mergeCell ref="G240:H240"/>
    <mergeCell ref="A307:B307"/>
    <mergeCell ref="G511:H511"/>
    <mergeCell ref="A249:B249"/>
    <mergeCell ref="A8:B8"/>
    <mergeCell ref="A184:B184"/>
    <mergeCell ref="A342:B342"/>
    <mergeCell ref="A336:B336"/>
    <mergeCell ref="A10:B10"/>
    <mergeCell ref="A557:B557"/>
    <mergeCell ref="A217:B217"/>
    <mergeCell ref="A136:B136"/>
    <mergeCell ref="G298:H298"/>
    <mergeCell ref="A428:B428"/>
    <mergeCell ref="G412:H412"/>
    <mergeCell ref="E379:F379"/>
    <mergeCell ref="A129:B129"/>
    <mergeCell ref="E250:F250"/>
    <mergeCell ref="E110:F110"/>
    <mergeCell ref="E381:F381"/>
    <mergeCell ref="G443:H443"/>
    <mergeCell ref="A131:B131"/>
    <mergeCell ref="E76:F76"/>
    <mergeCell ref="G16:H16"/>
    <mergeCell ref="G138:H138"/>
    <mergeCell ref="E380:F380"/>
    <mergeCell ref="E410:F410"/>
    <mergeCell ref="E251:F251"/>
    <mergeCell ref="G140:H140"/>
    <mergeCell ref="A276:B276"/>
    <mergeCell ref="G438:H438"/>
    <mergeCell ref="A270:B270"/>
    <mergeCell ref="G474:H474"/>
    <mergeCell ref="G440:H440"/>
    <mergeCell ref="E92:F92"/>
    <mergeCell ref="A271:B271"/>
    <mergeCell ref="E94:F94"/>
    <mergeCell ref="E311:F311"/>
    <mergeCell ref="G69:H69"/>
    <mergeCell ref="A273:B273"/>
    <mergeCell ref="G367:H367"/>
    <mergeCell ref="E8:F8"/>
    <mergeCell ref="A486:B486"/>
    <mergeCell ref="A478:B478"/>
    <mergeCell ref="G371:H371"/>
    <mergeCell ref="E308:F308"/>
    <mergeCell ref="G66:H66"/>
    <mergeCell ref="E335:F335"/>
    <mergeCell ref="G68:H68"/>
    <mergeCell ref="A204:B204"/>
    <mergeCell ref="G427:H427"/>
    <mergeCell ref="G399:H399"/>
    <mergeCell ref="A231:B231"/>
    <mergeCell ref="A206:B206"/>
    <mergeCell ref="A504:B504"/>
    <mergeCell ref="G213:H213"/>
    <mergeCell ref="G270:H270"/>
    <mergeCell ref="E53:F53"/>
    <mergeCell ref="E326:F326"/>
    <mergeCell ref="E361:F361"/>
    <mergeCell ref="E55:F55"/>
    <mergeCell ref="G117:H117"/>
    <mergeCell ref="E353:F353"/>
    <mergeCell ref="A103:B103"/>
    <mergeCell ref="G425:H425"/>
    <mergeCell ref="E48:F48"/>
    <mergeCell ref="G417:H417"/>
    <mergeCell ref="A128:B128"/>
    <mergeCell ref="G112:H112"/>
    <mergeCell ref="A426:B426"/>
    <mergeCell ref="G9:H9"/>
    <mergeCell ref="G11:H11"/>
    <mergeCell ref="A55:B55"/>
    <mergeCell ref="G27:H27"/>
    <mergeCell ref="A138:B138"/>
    <mergeCell ref="A132:B132"/>
    <mergeCell ref="A430:B430"/>
    <mergeCell ref="E140:F140"/>
    <mergeCell ref="G327:H327"/>
    <mergeCell ref="A463:B463"/>
    <mergeCell ref="A465:B465"/>
    <mergeCell ref="G472:H472"/>
    <mergeCell ref="E287:F287"/>
    <mergeCell ref="G45:H45"/>
    <mergeCell ref="E281:F281"/>
    <mergeCell ref="G343:H343"/>
    <mergeCell ref="G501:H501"/>
    <mergeCell ref="G55:H55"/>
    <mergeCell ref="G47:H47"/>
    <mergeCell ref="G345:H345"/>
    <mergeCell ref="G467:H467"/>
    <mergeCell ref="G46:H46"/>
    <mergeCell ref="E282:F282"/>
    <mergeCell ref="G40:H40"/>
    <mergeCell ref="A176:B176"/>
    <mergeCell ref="A64:B64"/>
    <mergeCell ref="A186:B186"/>
    <mergeCell ref="A178:B178"/>
    <mergeCell ref="G71:H71"/>
    <mergeCell ref="E313:F313"/>
    <mergeCell ref="A476:B476"/>
    <mergeCell ref="A308:B308"/>
    <mergeCell ref="A344:B344"/>
    <mergeCell ref="A310:B310"/>
    <mergeCell ref="E130:F130"/>
    <mergeCell ref="A75:B75"/>
    <mergeCell ref="G103:H103"/>
    <mergeCell ref="E339:F339"/>
    <mergeCell ref="G401:H401"/>
    <mergeCell ref="A233:B233"/>
    <mergeCell ref="A409:B409"/>
    <mergeCell ref="A531:B531"/>
    <mergeCell ref="A104:B104"/>
    <mergeCell ref="G403:H403"/>
    <mergeCell ref="A235:B235"/>
    <mergeCell ref="A533:B533"/>
    <mergeCell ref="A106:B106"/>
    <mergeCell ref="A404:B404"/>
    <mergeCell ref="E57:F57"/>
    <mergeCell ref="E355:F355"/>
    <mergeCell ref="G32:H32"/>
    <mergeCell ref="E268:F268"/>
    <mergeCell ref="E243:F243"/>
    <mergeCell ref="G330:H330"/>
    <mergeCell ref="A130:B130"/>
    <mergeCell ref="G332:H332"/>
    <mergeCell ref="G421:H421"/>
    <mergeCell ref="A506:B506"/>
    <mergeCell ref="G513:H513"/>
    <mergeCell ref="E489:F489"/>
    <mergeCell ref="E160:F160"/>
    <mergeCell ref="E132:F132"/>
    <mergeCell ref="E430:F430"/>
    <mergeCell ref="E491:F491"/>
    <mergeCell ref="G224:H224"/>
    <mergeCell ref="G101:H101"/>
    <mergeCell ref="A326:B326"/>
    <mergeCell ref="A22:B22"/>
    <mergeCell ref="E113:F113"/>
    <mergeCell ref="G336:H336"/>
    <mergeCell ref="E115:F115"/>
    <mergeCell ref="A466:B466"/>
    <mergeCell ref="A9:B9"/>
    <mergeCell ref="A167:B167"/>
    <mergeCell ref="A11:B11"/>
    <mergeCell ref="A169:B169"/>
    <mergeCell ref="A467:B467"/>
    <mergeCell ref="A461:B461"/>
    <mergeCell ref="G233:H233"/>
    <mergeCell ref="E200:F200"/>
    <mergeCell ref="E202:F202"/>
    <mergeCell ref="E500:F500"/>
    <mergeCell ref="G258:H258"/>
    <mergeCell ref="G556:H556"/>
    <mergeCell ref="E291:F291"/>
    <mergeCell ref="G49:H49"/>
    <mergeCell ref="A179:B179"/>
    <mergeCell ref="G266:H266"/>
    <mergeCell ref="E502:F502"/>
    <mergeCell ref="G260:H260"/>
    <mergeCell ref="E197:F197"/>
    <mergeCell ref="G259:H259"/>
    <mergeCell ref="A91:B91"/>
    <mergeCell ref="A389:B389"/>
    <mergeCell ref="A180:B180"/>
    <mergeCell ref="G261:H261"/>
    <mergeCell ref="A93:B93"/>
    <mergeCell ref="E184:F184"/>
    <mergeCell ref="A391:B391"/>
    <mergeCell ref="A395:B395"/>
    <mergeCell ref="G321:H321"/>
    <mergeCell ref="E557:F557"/>
    <mergeCell ref="E242:F242"/>
    <mergeCell ref="E217:F217"/>
    <mergeCell ref="E542:F542"/>
    <mergeCell ref="E129:F129"/>
    <mergeCell ref="G194:H194"/>
    <mergeCell ref="G316:H316"/>
    <mergeCell ref="E131:F131"/>
    <mergeCell ref="G160:H160"/>
    <mergeCell ref="E87:F87"/>
    <mergeCell ref="G494:H494"/>
    <mergeCell ref="A448:B448"/>
    <mergeCell ref="A27:B27"/>
    <mergeCell ref="G189:H189"/>
    <mergeCell ref="A456:B456"/>
    <mergeCell ref="E276:F276"/>
    <mergeCell ref="G34:H34"/>
    <mergeCell ref="E270:F270"/>
    <mergeCell ref="G334:H334"/>
    <mergeCell ref="E342:F342"/>
    <mergeCell ref="A480:B480"/>
    <mergeCell ref="E213:F213"/>
    <mergeCell ref="E344:F344"/>
    <mergeCell ref="G400:H400"/>
    <mergeCell ref="E39:F39"/>
    <mergeCell ref="E215:F215"/>
    <mergeCell ref="E337:F337"/>
    <mergeCell ref="E513:F513"/>
    <mergeCell ref="E373:F373"/>
    <mergeCell ref="G402:H402"/>
    <mergeCell ref="G363:H363"/>
    <mergeCell ref="G539:H539"/>
    <mergeCell ref="E178:F178"/>
    <mergeCell ref="G549:H549"/>
    <mergeCell ref="E476:F476"/>
    <mergeCell ref="G234:H234"/>
    <mergeCell ref="E144:F144"/>
    <mergeCell ref="A38:B38"/>
    <mergeCell ref="A380:B380"/>
    <mergeCell ref="E478:F478"/>
    <mergeCell ref="A372:B372"/>
    <mergeCell ref="A40:B40"/>
    <mergeCell ref="A382:B382"/>
    <mergeCell ref="A67:B67"/>
    <mergeCell ref="A338:B338"/>
    <mergeCell ref="E204:F204"/>
    <mergeCell ref="A340:B340"/>
    <mergeCell ref="E231:F231"/>
    <mergeCell ref="E206:F206"/>
    <mergeCell ref="E529:F529"/>
    <mergeCell ref="E504:F504"/>
    <mergeCell ref="A252:B252"/>
    <mergeCell ref="G262:H262"/>
    <mergeCell ref="A66:B66"/>
    <mergeCell ref="E506:F506"/>
    <mergeCell ref="E74:F74"/>
    <mergeCell ref="A95:B95"/>
    <mergeCell ref="A393:B393"/>
    <mergeCell ref="G290:H290"/>
    <mergeCell ref="A122:B122"/>
    <mergeCell ref="A97:B97"/>
    <mergeCell ref="A420:B420"/>
    <mergeCell ref="G423:H423"/>
    <mergeCell ref="E75:F75"/>
    <mergeCell ref="E233:F233"/>
    <mergeCell ref="E531:F531"/>
    <mergeCell ref="E235:F235"/>
    <mergeCell ref="G297:H297"/>
    <mergeCell ref="E533:F533"/>
    <mergeCell ref="G508:H508"/>
    <mergeCell ref="G299:H299"/>
    <mergeCell ref="G293:H293"/>
    <mergeCell ref="A429:B429"/>
    <mergeCell ref="A272:B272"/>
    <mergeCell ref="E551:F551"/>
    <mergeCell ref="G192:H192"/>
    <mergeCell ref="E463:F463"/>
    <mergeCell ref="G221:H221"/>
    <mergeCell ref="G492:H492"/>
    <mergeCell ref="E465:F465"/>
    <mergeCell ref="G223:H223"/>
    <mergeCell ref="G521:H521"/>
    <mergeCell ref="A325:B325"/>
    <mergeCell ref="A300:B300"/>
    <mergeCell ref="G523:H523"/>
    <mergeCell ref="A354:B354"/>
    <mergeCell ref="E177:F177"/>
    <mergeCell ref="E475:F475"/>
    <mergeCell ref="E149:F149"/>
    <mergeCell ref="G249:H249"/>
    <mergeCell ref="E176:F176"/>
    <mergeCell ref="E447:F447"/>
    <mergeCell ref="G205:H205"/>
    <mergeCell ref="A356:B356"/>
    <mergeCell ref="E9:F9"/>
    <mergeCell ref="A487:B487"/>
    <mergeCell ref="E167:F167"/>
    <mergeCell ref="E438:F438"/>
    <mergeCell ref="G196:H196"/>
    <mergeCell ref="E11:F11"/>
    <mergeCell ref="E169:F169"/>
    <mergeCell ref="E467:F467"/>
    <mergeCell ref="G225:H225"/>
    <mergeCell ref="E461:F461"/>
    <mergeCell ref="A29:B29"/>
    <mergeCell ref="E469:F469"/>
    <mergeCell ref="G227:H227"/>
    <mergeCell ref="G525:H525"/>
    <mergeCell ref="A357:B357"/>
    <mergeCell ref="G444:H444"/>
    <mergeCell ref="A31:B31"/>
    <mergeCell ref="A58:B58"/>
    <mergeCell ref="A329:B329"/>
    <mergeCell ref="E62:F62"/>
    <mergeCell ref="G97:H97"/>
    <mergeCell ref="E64:F64"/>
    <mergeCell ref="E362:F362"/>
    <mergeCell ref="E153:F153"/>
    <mergeCell ref="G128:H128"/>
    <mergeCell ref="E364:F364"/>
    <mergeCell ref="G426:H426"/>
    <mergeCell ref="E65:F65"/>
    <mergeCell ref="E363:F363"/>
    <mergeCell ref="G121:H121"/>
    <mergeCell ref="A251:B251"/>
    <mergeCell ref="A42:B42"/>
    <mergeCell ref="A542:B542"/>
    <mergeCell ref="A115:B115"/>
    <mergeCell ref="G99:H99"/>
    <mergeCell ref="E66:F66"/>
    <mergeCell ref="A544:B544"/>
    <mergeCell ref="A229:B229"/>
    <mergeCell ref="E68:F68"/>
    <mergeCell ref="G130:H130"/>
    <mergeCell ref="G155:H155"/>
    <mergeCell ref="E427:F427"/>
    <mergeCell ref="G157:H157"/>
    <mergeCell ref="G132:H132"/>
    <mergeCell ref="G455:H455"/>
    <mergeCell ref="G430:H430"/>
    <mergeCell ref="G186:H186"/>
    <mergeCell ref="A255:B255"/>
    <mergeCell ref="G457:H457"/>
    <mergeCell ref="G484:H484"/>
    <mergeCell ref="G152:H152"/>
    <mergeCell ref="G486:H486"/>
    <mergeCell ref="A290:B290"/>
    <mergeCell ref="E112:F112"/>
    <mergeCell ref="G212:H212"/>
    <mergeCell ref="G510:H510"/>
    <mergeCell ref="E404:F404"/>
    <mergeCell ref="E456:F456"/>
    <mergeCell ref="G214:H214"/>
    <mergeCell ref="E412:F412"/>
    <mergeCell ref="G512:H512"/>
    <mergeCell ref="G468:H468"/>
    <mergeCell ref="A492:B492"/>
    <mergeCell ref="E293:F293"/>
    <mergeCell ref="G541:H541"/>
    <mergeCell ref="E22:F22"/>
    <mergeCell ref="G84:H84"/>
    <mergeCell ref="E198:F198"/>
    <mergeCell ref="G385:H385"/>
    <mergeCell ref="A521:B521"/>
    <mergeCell ref="G86:H86"/>
    <mergeCell ref="A216:B216"/>
    <mergeCell ref="A523:B523"/>
    <mergeCell ref="E343:F343"/>
    <mergeCell ref="A87:B87"/>
    <mergeCell ref="A218:B218"/>
    <mergeCell ref="E38:F38"/>
    <mergeCell ref="A516:B516"/>
    <mergeCell ref="A89:B89"/>
    <mergeCell ref="E40:F40"/>
    <mergeCell ref="E338:F338"/>
    <mergeCell ref="E496:F496"/>
    <mergeCell ref="A242:B242"/>
    <mergeCell ref="G104:H104"/>
    <mergeCell ref="E340:F340"/>
    <mergeCell ref="A234:B234"/>
    <mergeCell ref="A244:B244"/>
    <mergeCell ref="G54:H54"/>
    <mergeCell ref="G56:H56"/>
    <mergeCell ref="A187:B187"/>
    <mergeCell ref="A485:B485"/>
    <mergeCell ref="E138:F138"/>
    <mergeCell ref="E466:F466"/>
    <mergeCell ref="A189:B189"/>
    <mergeCell ref="A540:B540"/>
    <mergeCell ref="G123:H123"/>
    <mergeCell ref="A525:B525"/>
    <mergeCell ref="E258:F258"/>
    <mergeCell ref="A220:B220"/>
    <mergeCell ref="E556:F556"/>
    <mergeCell ref="A518:B518"/>
    <mergeCell ref="A437:B437"/>
    <mergeCell ref="A431:B431"/>
    <mergeCell ref="E382:F382"/>
    <mergeCell ref="E42:F42"/>
    <mergeCell ref="A520:B520"/>
    <mergeCell ref="E259:F259"/>
    <mergeCell ref="G17:H17"/>
    <mergeCell ref="A124:B124"/>
    <mergeCell ref="E253:F253"/>
    <mergeCell ref="A422:B422"/>
    <mergeCell ref="G446:H446"/>
    <mergeCell ref="E411:F411"/>
    <mergeCell ref="G19:H19"/>
    <mergeCell ref="G317:H317"/>
    <mergeCell ref="A149:B149"/>
    <mergeCell ref="A447:B447"/>
    <mergeCell ref="G319:H319"/>
    <mergeCell ref="A151:B151"/>
    <mergeCell ref="A449:B449"/>
    <mergeCell ref="G477:H477"/>
    <mergeCell ref="A150:B150"/>
    <mergeCell ref="A144:B144"/>
    <mergeCell ref="E429:F429"/>
    <mergeCell ref="A152:B152"/>
    <mergeCell ref="A450:B450"/>
    <mergeCell ref="E97:F97"/>
    <mergeCell ref="G159:H159"/>
    <mergeCell ref="A1:K1"/>
    <mergeCell ref="A78:B78"/>
    <mergeCell ref="E29:F29"/>
    <mergeCell ref="A507:B507"/>
    <mergeCell ref="E205:F205"/>
    <mergeCell ref="A80:B80"/>
    <mergeCell ref="A378:B378"/>
    <mergeCell ref="E31:F31"/>
    <mergeCell ref="E354:F354"/>
    <mergeCell ref="E329:F329"/>
    <mergeCell ref="G87:H87"/>
    <mergeCell ref="G95:H95"/>
    <mergeCell ref="E356:F356"/>
    <mergeCell ref="E331:F331"/>
    <mergeCell ref="G89:H89"/>
    <mergeCell ref="G393:H393"/>
    <mergeCell ref="G418:H418"/>
    <mergeCell ref="G306:H306"/>
    <mergeCell ref="A436:B436"/>
    <mergeCell ref="G420:H420"/>
    <mergeCell ref="G14:H14"/>
    <mergeCell ref="E401:F401"/>
    <mergeCell ref="E395:F395"/>
    <mergeCell ref="G72:H72"/>
    <mergeCell ref="G370:H370"/>
    <mergeCell ref="E272:F272"/>
    <mergeCell ref="G161:H161"/>
    <mergeCell ref="G459:H459"/>
    <mergeCell ref="E424:F424"/>
    <mergeCell ref="A291:B291"/>
    <mergeCell ref="G461:H461"/>
    <mergeCell ref="A501:B501"/>
    <mergeCell ref="E544:F544"/>
    <mergeCell ref="E229:F229"/>
    <mergeCell ref="A438:B438"/>
    <mergeCell ref="G422:H422"/>
    <mergeCell ref="E148:F148"/>
    <mergeCell ref="E446:F446"/>
    <mergeCell ref="G335:H335"/>
    <mergeCell ref="A440:B440"/>
    <mergeCell ref="E448:F448"/>
    <mergeCell ref="G206:H206"/>
    <mergeCell ref="G506:H506"/>
    <mergeCell ref="E289:F289"/>
    <mergeCell ref="G351:H351"/>
    <mergeCell ref="A39:B39"/>
    <mergeCell ref="A337:B337"/>
    <mergeCell ref="A339:B339"/>
    <mergeCell ref="E290:F290"/>
    <mergeCell ref="G48:H48"/>
    <mergeCell ref="G346:H346"/>
    <mergeCell ref="A153:B153"/>
    <mergeCell ref="E161:F161"/>
    <mergeCell ref="A364:B364"/>
    <mergeCell ref="G348:H348"/>
    <mergeCell ref="A484:B484"/>
    <mergeCell ref="A181:B181"/>
    <mergeCell ref="E316:F316"/>
    <mergeCell ref="A479:B479"/>
    <mergeCell ref="G250:H250"/>
    <mergeCell ref="G372:H372"/>
    <mergeCell ref="A52:B52"/>
    <mergeCell ref="E187:F187"/>
    <mergeCell ref="G76:H76"/>
    <mergeCell ref="E521:F521"/>
    <mergeCell ref="G279:H279"/>
    <mergeCell ref="E216:F216"/>
    <mergeCell ref="E523:F523"/>
    <mergeCell ref="G281:H281"/>
    <mergeCell ref="E218:F218"/>
    <mergeCell ref="G280:H280"/>
    <mergeCell ref="E516:F516"/>
    <mergeCell ref="A112:B112"/>
    <mergeCell ref="G274:H274"/>
    <mergeCell ref="G411:H411"/>
    <mergeCell ref="A541:B541"/>
    <mergeCell ref="G282:H282"/>
    <mergeCell ref="A114:B114"/>
    <mergeCell ref="A412:B412"/>
    <mergeCell ref="A534:B534"/>
    <mergeCell ref="A107:B107"/>
    <mergeCell ref="A536:B536"/>
    <mergeCell ref="G307:H307"/>
    <mergeCell ref="E234:F234"/>
    <mergeCell ref="E244:F244"/>
    <mergeCell ref="E236:F236"/>
    <mergeCell ref="E358:F358"/>
    <mergeCell ref="G380:H380"/>
    <mergeCell ref="A481:B481"/>
    <mergeCell ref="G374:H374"/>
    <mergeCell ref="E301:F301"/>
    <mergeCell ref="A510:B510"/>
    <mergeCell ref="E189:F189"/>
    <mergeCell ref="A352:B352"/>
    <mergeCell ref="E487:F487"/>
    <mergeCell ref="A207:B207"/>
    <mergeCell ref="A12:B12"/>
    <mergeCell ref="G210:H210"/>
    <mergeCell ref="A14:B14"/>
    <mergeCell ref="A312:B312"/>
    <mergeCell ref="E508:F508"/>
    <mergeCell ref="A470:B470"/>
    <mergeCell ref="A43:B43"/>
    <mergeCell ref="E501:F501"/>
    <mergeCell ref="E134:F134"/>
    <mergeCell ref="E292:F292"/>
    <mergeCell ref="G50:H50"/>
    <mergeCell ref="E503:F503"/>
    <mergeCell ref="G52:H52"/>
    <mergeCell ref="G350:H350"/>
    <mergeCell ref="E165:F165"/>
    <mergeCell ref="A399:B399"/>
    <mergeCell ref="A488:B488"/>
    <mergeCell ref="A25:B25"/>
    <mergeCell ref="E221:F221"/>
    <mergeCell ref="G264:H264"/>
    <mergeCell ref="A394:B394"/>
    <mergeCell ref="A83:B83"/>
    <mergeCell ref="A49:B49"/>
    <mergeCell ref="A383:B383"/>
    <mergeCell ref="A505:B505"/>
    <mergeCell ref="A172:B172"/>
    <mergeCell ref="A292:B292"/>
    <mergeCell ref="A286:B286"/>
    <mergeCell ref="A74:B74"/>
    <mergeCell ref="G373:H373"/>
    <mergeCell ref="A503:B503"/>
    <mergeCell ref="A163:B163"/>
    <mergeCell ref="G542:H542"/>
    <mergeCell ref="E23:F23"/>
    <mergeCell ref="E181:F181"/>
    <mergeCell ref="G552:H552"/>
    <mergeCell ref="E479:F479"/>
    <mergeCell ref="G237:H237"/>
    <mergeCell ref="A346:B346"/>
    <mergeCell ref="G544:H544"/>
    <mergeCell ref="A41:B41"/>
    <mergeCell ref="G245:H245"/>
    <mergeCell ref="E481:F481"/>
    <mergeCell ref="G543:H543"/>
    <mergeCell ref="A375:B375"/>
    <mergeCell ref="E510:F510"/>
    <mergeCell ref="G456:H456"/>
    <mergeCell ref="A341:B341"/>
    <mergeCell ref="E468:F468"/>
    <mergeCell ref="E49:F49"/>
    <mergeCell ref="E163:F163"/>
    <mergeCell ref="G113:H113"/>
    <mergeCell ref="A401:B401"/>
    <mergeCell ref="A403:B403"/>
    <mergeCell ref="G169:H169"/>
    <mergeCell ref="G469:H469"/>
    <mergeCell ref="E436:F436"/>
    <mergeCell ref="E550:F550"/>
    <mergeCell ref="E525:F525"/>
    <mergeCell ref="A302:B302"/>
    <mergeCell ref="G195:H195"/>
    <mergeCell ref="E431:F431"/>
    <mergeCell ref="G493:H493"/>
    <mergeCell ref="A298:B298"/>
    <mergeCell ref="A6:B6"/>
    <mergeCell ref="G170:H170"/>
    <mergeCell ref="G529:H529"/>
    <mergeCell ref="G504:H504"/>
    <mergeCell ref="E10:F10"/>
    <mergeCell ref="G74:H74"/>
    <mergeCell ref="E310:F310"/>
    <mergeCell ref="G524:H524"/>
    <mergeCell ref="A331:B331"/>
    <mergeCell ref="A199:B199"/>
    <mergeCell ref="A288:B288"/>
    <mergeCell ref="E484:F484"/>
    <mergeCell ref="G242:H242"/>
    <mergeCell ref="E21:F21"/>
    <mergeCell ref="G208:H208"/>
    <mergeCell ref="E486:F486"/>
    <mergeCell ref="G244:H244"/>
    <mergeCell ref="G309:H309"/>
    <mergeCell ref="A116:B116"/>
    <mergeCell ref="A414:B414"/>
    <mergeCell ref="G197:H197"/>
    <mergeCell ref="E124:F124"/>
    <mergeCell ref="G495:H495"/>
    <mergeCell ref="E120:F120"/>
    <mergeCell ref="A327:B327"/>
    <mergeCell ref="A416:B416"/>
    <mergeCell ref="A299:B299"/>
    <mergeCell ref="A293:B293"/>
    <mergeCell ref="E121:F121"/>
    <mergeCell ref="A328:B328"/>
    <mergeCell ref="A284:B284"/>
    <mergeCell ref="E151:F151"/>
    <mergeCell ref="E541:F541"/>
    <mergeCell ref="A264:B264"/>
    <mergeCell ref="E84:F84"/>
    <mergeCell ref="E78:F78"/>
    <mergeCell ref="E114:F114"/>
    <mergeCell ref="E385:F385"/>
    <mergeCell ref="G447:H447"/>
    <mergeCell ref="E86:F86"/>
    <mergeCell ref="E80:F80"/>
    <mergeCell ref="G142:H142"/>
    <mergeCell ref="E384:F384"/>
    <mergeCell ref="E378:F378"/>
    <mergeCell ref="E536:F536"/>
    <mergeCell ref="G144:H144"/>
    <mergeCell ref="A280:B280"/>
    <mergeCell ref="G442:H442"/>
    <mergeCell ref="A274:B274"/>
    <mergeCell ref="E81:F81"/>
    <mergeCell ref="A432:B432"/>
    <mergeCell ref="G173:H173"/>
    <mergeCell ref="E106:F106"/>
    <mergeCell ref="A275:B275"/>
    <mergeCell ref="G473:H473"/>
    <mergeCell ref="E440:F440"/>
    <mergeCell ref="A146:B146"/>
    <mergeCell ref="E455:F455"/>
    <mergeCell ref="E449:F449"/>
    <mergeCell ref="E123:F123"/>
    <mergeCell ref="E150:F150"/>
    <mergeCell ref="E421:F421"/>
    <mergeCell ref="G179:H179"/>
    <mergeCell ref="G337:H337"/>
    <mergeCell ref="E12:F12"/>
    <mergeCell ref="A490:B490"/>
    <mergeCell ref="G497:H497"/>
    <mergeCell ref="G533:H533"/>
    <mergeCell ref="E14:F14"/>
    <mergeCell ref="E312:F312"/>
    <mergeCell ref="G70:H70"/>
    <mergeCell ref="E314:F314"/>
    <mergeCell ref="A208:B208"/>
    <mergeCell ref="A330:B330"/>
    <mergeCell ref="A366:B366"/>
    <mergeCell ref="E370:F370"/>
    <mergeCell ref="A210:B210"/>
    <mergeCell ref="A203:B203"/>
    <mergeCell ref="G432:H432"/>
    <mergeCell ref="E399:F399"/>
    <mergeCell ref="E154:F154"/>
    <mergeCell ref="G428:H428"/>
    <mergeCell ref="E488:F488"/>
    <mergeCell ref="G246:H246"/>
    <mergeCell ref="G129:H129"/>
    <mergeCell ref="E365:F365"/>
    <mergeCell ref="E25:F25"/>
    <mergeCell ref="G463:H463"/>
    <mergeCell ref="E454:F454"/>
    <mergeCell ref="G131:H131"/>
    <mergeCell ref="E58:F58"/>
    <mergeCell ref="G429:H429"/>
    <mergeCell ref="E394:F394"/>
    <mergeCell ref="A261:B261"/>
    <mergeCell ref="A350:B350"/>
    <mergeCell ref="G300:H300"/>
    <mergeCell ref="A552:B552"/>
    <mergeCell ref="A237:B237"/>
    <mergeCell ref="E372:F372"/>
    <mergeCell ref="A535:B535"/>
    <mergeCell ref="A423:B423"/>
    <mergeCell ref="A108:B108"/>
    <mergeCell ref="E374:F374"/>
    <mergeCell ref="A537:B537"/>
    <mergeCell ref="A118:B118"/>
    <mergeCell ref="A238:B238"/>
    <mergeCell ref="E367:F367"/>
    <mergeCell ref="A263:B263"/>
    <mergeCell ref="E271:F271"/>
    <mergeCell ref="G29:H29"/>
    <mergeCell ref="A134:B134"/>
    <mergeCell ref="A265:B265"/>
    <mergeCell ref="E273:F273"/>
    <mergeCell ref="G31:H31"/>
    <mergeCell ref="G331:H331"/>
    <mergeCell ref="E418:F418"/>
    <mergeCell ref="G176:H176"/>
    <mergeCell ref="A162:B162"/>
    <mergeCell ref="G476:H476"/>
    <mergeCell ref="A164:B164"/>
    <mergeCell ref="G57:H57"/>
    <mergeCell ref="E413:F413"/>
    <mergeCell ref="G171:H171"/>
    <mergeCell ref="A195:B195"/>
    <mergeCell ref="E284:F284"/>
    <mergeCell ref="G357:H357"/>
    <mergeCell ref="A309:B309"/>
    <mergeCell ref="G58:H58"/>
    <mergeCell ref="G550:H550"/>
    <mergeCell ref="G366:H366"/>
    <mergeCell ref="A173:B173"/>
    <mergeCell ref="A471:B471"/>
    <mergeCell ref="A77:B77"/>
    <mergeCell ref="A166:B166"/>
    <mergeCell ref="G391:H391"/>
    <mergeCell ref="G480:H480"/>
    <mergeCell ref="E328:F328"/>
    <mergeCell ref="A168:B168"/>
    <mergeCell ref="G122:H122"/>
    <mergeCell ref="G392:H392"/>
    <mergeCell ref="G386:H386"/>
    <mergeCell ref="E288:F288"/>
    <mergeCell ref="A522:B522"/>
    <mergeCell ref="A497:B497"/>
    <mergeCell ref="G263:H263"/>
    <mergeCell ref="G394:H394"/>
    <mergeCell ref="A524:B524"/>
    <mergeCell ref="A499:B499"/>
    <mergeCell ref="A219:B219"/>
    <mergeCell ref="E346:F346"/>
    <mergeCell ref="A96:B96"/>
    <mergeCell ref="E348:F348"/>
    <mergeCell ref="G106:H106"/>
    <mergeCell ref="G448:H448"/>
    <mergeCell ref="G404:H404"/>
    <mergeCell ref="G105:H105"/>
    <mergeCell ref="E341:F341"/>
    <mergeCell ref="A123:B123"/>
    <mergeCell ref="G107:H107"/>
    <mergeCell ref="G405:H405"/>
    <mergeCell ref="A539:B539"/>
    <mergeCell ref="A458:B458"/>
    <mergeCell ref="A452:B452"/>
    <mergeCell ref="E403:F403"/>
    <mergeCell ref="E280:F280"/>
    <mergeCell ref="G38:H38"/>
    <mergeCell ref="E274:F274"/>
    <mergeCell ref="E432:F432"/>
    <mergeCell ref="A453:B453"/>
    <mergeCell ref="G162:H162"/>
    <mergeCell ref="G338:H338"/>
    <mergeCell ref="G460:H460"/>
    <mergeCell ref="E186:F186"/>
    <mergeCell ref="A26:B26"/>
    <mergeCell ref="A468:B468"/>
    <mergeCell ref="G496:H496"/>
    <mergeCell ref="E275:F275"/>
    <mergeCell ref="G33:H33"/>
    <mergeCell ref="G340:H340"/>
    <mergeCell ref="G462:H462"/>
    <mergeCell ref="G35:H35"/>
    <mergeCell ref="A171:B171"/>
    <mergeCell ref="G333:H333"/>
    <mergeCell ref="A165:B165"/>
    <mergeCell ref="G252:H252"/>
    <mergeCell ref="E46:F46"/>
    <mergeCell ref="E41:F41"/>
    <mergeCell ref="E43:F43"/>
    <mergeCell ref="G471:H471"/>
    <mergeCell ref="A188:B188"/>
    <mergeCell ref="E286:F286"/>
    <mergeCell ref="A495:B495"/>
    <mergeCell ref="A526:B526"/>
    <mergeCell ref="E534:F534"/>
    <mergeCell ref="G292:H292"/>
    <mergeCell ref="G267:H267"/>
    <mergeCell ref="A99:B99"/>
    <mergeCell ref="A397:B397"/>
    <mergeCell ref="A528:B528"/>
    <mergeCell ref="G294:H294"/>
    <mergeCell ref="E261:F261"/>
    <mergeCell ref="A101:B101"/>
    <mergeCell ref="E350:F350"/>
    <mergeCell ref="G108:H108"/>
    <mergeCell ref="G325:H325"/>
    <mergeCell ref="A311:B311"/>
    <mergeCell ref="G20:H20"/>
    <mergeCell ref="E256:F256"/>
    <mergeCell ref="G318:H318"/>
    <mergeCell ref="E264:F264"/>
    <mergeCell ref="G22:H22"/>
    <mergeCell ref="G198:H198"/>
    <mergeCell ref="G320:H320"/>
    <mergeCell ref="A68:B68"/>
    <mergeCell ref="A190:B190"/>
    <mergeCell ref="E317:F317"/>
    <mergeCell ref="G75:H75"/>
    <mergeCell ref="G531:H531"/>
    <mergeCell ref="G431:H431"/>
    <mergeCell ref="G458:H458"/>
    <mergeCell ref="E83:F83"/>
    <mergeCell ref="A343:B343"/>
    <mergeCell ref="G126:H126"/>
    <mergeCell ref="A256:B256"/>
    <mergeCell ref="E480:F480"/>
    <mergeCell ref="A385:B385"/>
    <mergeCell ref="A50:B50"/>
    <mergeCell ref="G254:H254"/>
    <mergeCell ref="E490:F490"/>
    <mergeCell ref="A86:B86"/>
    <mergeCell ref="G248:H248"/>
    <mergeCell ref="A384:B384"/>
    <mergeCell ref="A515:B515"/>
    <mergeCell ref="E179:F179"/>
    <mergeCell ref="A386:B386"/>
    <mergeCell ref="A81:B81"/>
    <mergeCell ref="E208:F208"/>
    <mergeCell ref="G395:H395"/>
    <mergeCell ref="E210:F210"/>
    <mergeCell ref="A226:B226"/>
    <mergeCell ref="E203:F203"/>
    <mergeCell ref="A70:B70"/>
    <mergeCell ref="A228:B228"/>
    <mergeCell ref="E383:F383"/>
    <mergeCell ref="A133:B133"/>
    <mergeCell ref="E152:F152"/>
    <mergeCell ref="E450:F450"/>
    <mergeCell ref="A317:B317"/>
    <mergeCell ref="G339:H339"/>
    <mergeCell ref="E118:F118"/>
    <mergeCell ref="A469:B469"/>
    <mergeCell ref="A294:B294"/>
    <mergeCell ref="A76:B76"/>
    <mergeCell ref="A374:B374"/>
    <mergeCell ref="E325:F325"/>
    <mergeCell ref="E116:F116"/>
    <mergeCell ref="G51:H51"/>
    <mergeCell ref="G349:H349"/>
    <mergeCell ref="A156:B156"/>
    <mergeCell ref="A454:B454"/>
    <mergeCell ref="E164:F164"/>
    <mergeCell ref="G226:H226"/>
    <mergeCell ref="A24:B24"/>
    <mergeCell ref="A60:B60"/>
    <mergeCell ref="E195:F195"/>
    <mergeCell ref="A358:B358"/>
    <mergeCell ref="G251:H251"/>
    <mergeCell ref="G382:H382"/>
    <mergeCell ref="E309:F309"/>
    <mergeCell ref="E188:F188"/>
    <mergeCell ref="A360:B360"/>
    <mergeCell ref="G253:H253"/>
    <mergeCell ref="E180:F180"/>
    <mergeCell ref="E190:F190"/>
    <mergeCell ref="A84:B84"/>
    <mergeCell ref="E182:F182"/>
    <mergeCell ref="G39:H39"/>
    <mergeCell ref="E27:F27"/>
    <mergeCell ref="E414:F414"/>
    <mergeCell ref="E196:F196"/>
    <mergeCell ref="G91:H91"/>
    <mergeCell ref="E327:F327"/>
    <mergeCell ref="G85:H85"/>
    <mergeCell ref="G389:H389"/>
    <mergeCell ref="G383:H383"/>
    <mergeCell ref="A259:B259"/>
    <mergeCell ref="A253:B253"/>
    <mergeCell ref="A411:B411"/>
    <mergeCell ref="A491:B491"/>
    <mergeCell ref="G143:H143"/>
    <mergeCell ref="A28:B28"/>
    <mergeCell ref="E522:F522"/>
    <mergeCell ref="A362:B362"/>
    <mergeCell ref="A245:B245"/>
    <mergeCell ref="A30:B30"/>
    <mergeCell ref="A59:B59"/>
    <mergeCell ref="E524:F524"/>
    <mergeCell ref="E67:F67"/>
    <mergeCell ref="E219:F219"/>
    <mergeCell ref="A61:B61"/>
    <mergeCell ref="A359:B359"/>
    <mergeCell ref="G125:H125"/>
    <mergeCell ref="G283:H283"/>
    <mergeCell ref="A413:B413"/>
    <mergeCell ref="G127:H127"/>
    <mergeCell ref="G285:H285"/>
    <mergeCell ref="E252:F252"/>
    <mergeCell ref="A415:B415"/>
    <mergeCell ref="E366:F366"/>
    <mergeCell ref="E237:F237"/>
    <mergeCell ref="E239:F239"/>
    <mergeCell ref="G301:H301"/>
    <mergeCell ref="E238:F238"/>
    <mergeCell ref="A143:B143"/>
    <mergeCell ref="A441:B441"/>
    <mergeCell ref="G303:H303"/>
    <mergeCell ref="G296:H296"/>
    <mergeCell ref="E265:F265"/>
    <mergeCell ref="G354:H354"/>
    <mergeCell ref="G329:H329"/>
    <mergeCell ref="A20:B20"/>
    <mergeCell ref="G182:H182"/>
    <mergeCell ref="G111:H111"/>
    <mergeCell ref="A318:B318"/>
    <mergeCell ref="G218:H218"/>
    <mergeCell ref="G516:H516"/>
    <mergeCell ref="A348:B348"/>
    <mergeCell ref="A13:B13"/>
    <mergeCell ref="E453:F453"/>
    <mergeCell ref="G211:H211"/>
    <mergeCell ref="A320:B320"/>
    <mergeCell ref="A347:B347"/>
    <mergeCell ref="A314:B314"/>
    <mergeCell ref="A15:B15"/>
    <mergeCell ref="A191:B191"/>
    <mergeCell ref="A51:B51"/>
    <mergeCell ref="E142:F142"/>
    <mergeCell ref="A349:B349"/>
    <mergeCell ref="A315:B315"/>
    <mergeCell ref="E171:F171"/>
    <mergeCell ref="E442:F442"/>
    <mergeCell ref="G358:H358"/>
    <mergeCell ref="E137:F137"/>
    <mergeCell ref="E173:F173"/>
    <mergeCell ref="E471:F471"/>
    <mergeCell ref="G229:H229"/>
    <mergeCell ref="G360:H360"/>
    <mergeCell ref="G148:H148"/>
    <mergeCell ref="E166:F166"/>
    <mergeCell ref="A33:B33"/>
    <mergeCell ref="G114:H114"/>
    <mergeCell ref="A489:B489"/>
    <mergeCell ref="E553:F553"/>
    <mergeCell ref="E528:F528"/>
    <mergeCell ref="G286:H286"/>
    <mergeCell ref="E96:F96"/>
    <mergeCell ref="G503:H503"/>
    <mergeCell ref="E98:F98"/>
    <mergeCell ref="G488:H488"/>
    <mergeCell ref="E398:F398"/>
    <mergeCell ref="G156:H156"/>
    <mergeCell ref="G498:H498"/>
    <mergeCell ref="G187:H187"/>
    <mergeCell ref="E423:F423"/>
    <mergeCell ref="G485:H485"/>
    <mergeCell ref="E300:F300"/>
    <mergeCell ref="G180:H180"/>
    <mergeCell ref="E422:F422"/>
    <mergeCell ref="E458:F458"/>
    <mergeCell ref="G216:H216"/>
    <mergeCell ref="G487:H487"/>
    <mergeCell ref="E452:F452"/>
    <mergeCell ref="G514:H514"/>
    <mergeCell ref="G188:H188"/>
    <mergeCell ref="E168:F168"/>
    <mergeCell ref="E552:F552"/>
    <mergeCell ref="E535:F535"/>
    <mergeCell ref="E537:F537"/>
    <mergeCell ref="E133:F133"/>
    <mergeCell ref="E108:F108"/>
    <mergeCell ref="G356:H356"/>
    <mergeCell ref="E162:F162"/>
    <mergeCell ref="E495:F495"/>
    <mergeCell ref="G551:H551"/>
    <mergeCell ref="A322:B322"/>
    <mergeCell ref="G545:H545"/>
    <mergeCell ref="E26:F26"/>
    <mergeCell ref="G88:H88"/>
    <mergeCell ref="G90:H90"/>
    <mergeCell ref="G546:H546"/>
    <mergeCell ref="E50:F50"/>
    <mergeCell ref="A222:B222"/>
    <mergeCell ref="G115:H115"/>
    <mergeCell ref="E357:F357"/>
    <mergeCell ref="E515:F515"/>
    <mergeCell ref="E52:F52"/>
    <mergeCell ref="E44:F44"/>
    <mergeCell ref="A551:B551"/>
    <mergeCell ref="G141:H141"/>
    <mergeCell ref="G116:H116"/>
    <mergeCell ref="E352:F352"/>
    <mergeCell ref="G414:H414"/>
    <mergeCell ref="A246:B246"/>
    <mergeCell ref="G118:H118"/>
    <mergeCell ref="G416:H416"/>
    <mergeCell ref="A248:B248"/>
    <mergeCell ref="A406:B406"/>
    <mergeCell ref="E226:F226"/>
    <mergeCell ref="A247:B247"/>
    <mergeCell ref="E70:F70"/>
    <mergeCell ref="E228:F228"/>
    <mergeCell ref="E526:F526"/>
    <mergeCell ref="G134:H134"/>
    <mergeCell ref="A35:B35"/>
    <mergeCell ref="A62:B62"/>
    <mergeCell ref="A333:B333"/>
    <mergeCell ref="G8:H8"/>
    <mergeCell ref="G518:H518"/>
    <mergeCell ref="G437:H437"/>
    <mergeCell ref="E35:F35"/>
    <mergeCell ref="E333:F333"/>
    <mergeCell ref="G10:H10"/>
    <mergeCell ref="G547:H547"/>
    <mergeCell ref="G308:H308"/>
    <mergeCell ref="E28:F28"/>
    <mergeCell ref="E245:F245"/>
    <mergeCell ref="A351:B351"/>
    <mergeCell ref="G310:H310"/>
    <mergeCell ref="E30:F30"/>
    <mergeCell ref="G92:H92"/>
    <mergeCell ref="A3:K3"/>
    <mergeCell ref="A141:B141"/>
    <mergeCell ref="A135:B135"/>
    <mergeCell ref="A439:B439"/>
    <mergeCell ref="A433:B433"/>
    <mergeCell ref="A5:K5"/>
    <mergeCell ref="A224:B224"/>
    <mergeCell ref="A435:B435"/>
    <mergeCell ref="E255:F255"/>
    <mergeCell ref="E392:F392"/>
    <mergeCell ref="G150:H150"/>
    <mergeCell ref="E386:F386"/>
    <mergeCell ref="G478:H478"/>
    <mergeCell ref="E263:F263"/>
    <mergeCell ref="G21:H21"/>
    <mergeCell ref="G450:H450"/>
    <mergeCell ref="E415:F415"/>
    <mergeCell ref="E387:F387"/>
    <mergeCell ref="E13:F13"/>
    <mergeCell ref="A369:B369"/>
    <mergeCell ref="E320:F320"/>
    <mergeCell ref="G78:H78"/>
    <mergeCell ref="G376:H376"/>
    <mergeCell ref="G534:H534"/>
    <mergeCell ref="E15:F15"/>
    <mergeCell ref="E191:F191"/>
    <mergeCell ref="G80:H80"/>
    <mergeCell ref="G378:H378"/>
    <mergeCell ref="A514:B514"/>
    <mergeCell ref="G536:H536"/>
    <mergeCell ref="G79:H79"/>
    <mergeCell ref="E315:F315"/>
    <mergeCell ref="G73:H73"/>
    <mergeCell ref="A209:B209"/>
    <mergeCell ref="A211:B211"/>
    <mergeCell ref="A509:B509"/>
    <mergeCell ref="A82:B82"/>
    <mergeCell ref="G406:H406"/>
    <mergeCell ref="E33:F33"/>
    <mergeCell ref="A511:B511"/>
    <mergeCell ref="G23:H23"/>
    <mergeCell ref="G145:H145"/>
    <mergeCell ref="G181:H181"/>
    <mergeCell ref="G452:H452"/>
    <mergeCell ref="G479:H479"/>
    <mergeCell ref="G147:H147"/>
    <mergeCell ref="G174:H174"/>
    <mergeCell ref="A283:B283"/>
    <mergeCell ref="G445:H445"/>
    <mergeCell ref="A277:B277"/>
    <mergeCell ref="G12:H12"/>
    <mergeCell ref="E248:F248"/>
    <mergeCell ref="A142:B142"/>
    <mergeCell ref="G441:H441"/>
    <mergeCell ref="E368:F368"/>
    <mergeCell ref="G435:H435"/>
    <mergeCell ref="E247:F247"/>
    <mergeCell ref="G312:H312"/>
    <mergeCell ref="A442:B442"/>
    <mergeCell ref="G7:H7"/>
    <mergeCell ref="A137:B137"/>
    <mergeCell ref="A268:B268"/>
    <mergeCell ref="A145:B145"/>
    <mergeCell ref="A139:B139"/>
    <mergeCell ref="A443:B443"/>
    <mergeCell ref="E90:F90"/>
    <mergeCell ref="E388:F388"/>
    <mergeCell ref="G65:H65"/>
    <mergeCell ref="G154:H154"/>
    <mergeCell ref="E390:F390"/>
    <mergeCell ref="E172:F172"/>
    <mergeCell ref="G365:H365"/>
    <mergeCell ref="G25:H25"/>
    <mergeCell ref="E302:F302"/>
    <mergeCell ref="G60:H60"/>
    <mergeCell ref="G236:H236"/>
    <mergeCell ref="E294:F294"/>
    <mergeCell ref="A279:B279"/>
    <mergeCell ref="A69:B69"/>
    <mergeCell ref="A367:B367"/>
    <mergeCell ref="E20:F20"/>
    <mergeCell ref="A183:B183"/>
    <mergeCell ref="A543:B543"/>
    <mergeCell ref="E222:F222"/>
    <mergeCell ref="G284:H284"/>
    <mergeCell ref="A553:B553"/>
    <mergeCell ref="E520:F520"/>
    <mergeCell ref="G415:H415"/>
    <mergeCell ref="A545:B545"/>
    <mergeCell ref="A126:B126"/>
    <mergeCell ref="G110:H110"/>
    <mergeCell ref="A424:B424"/>
    <mergeCell ref="A109:B109"/>
    <mergeCell ref="G408:H408"/>
    <mergeCell ref="A240:B240"/>
    <mergeCell ref="E375:F375"/>
    <mergeCell ref="A538:B538"/>
    <mergeCell ref="A117:B117"/>
    <mergeCell ref="A111:B111"/>
    <mergeCell ref="E246:F246"/>
    <mergeCell ref="G410:H410"/>
    <mergeCell ref="E377:F377"/>
    <mergeCell ref="G439:H439"/>
    <mergeCell ref="G454:H454"/>
    <mergeCell ref="A496:B496"/>
    <mergeCell ref="A498:B498"/>
    <mergeCell ref="E318:F318"/>
    <mergeCell ref="A193:B193"/>
    <mergeCell ref="G481:H481"/>
    <mergeCell ref="A154:B154"/>
    <mergeCell ref="A285:B285"/>
    <mergeCell ref="A306:B306"/>
    <mergeCell ref="E397:F397"/>
    <mergeCell ref="A278:B278"/>
    <mergeCell ref="A474:B474"/>
    <mergeCell ref="E207:F207"/>
    <mergeCell ref="A47:B47"/>
    <mergeCell ref="E505:F505"/>
    <mergeCell ref="E296:F296"/>
    <mergeCell ref="G271:H271"/>
    <mergeCell ref="E507:F507"/>
    <mergeCell ref="G265:H265"/>
    <mergeCell ref="A44:B44"/>
    <mergeCell ref="G273:H273"/>
    <mergeCell ref="A98:B98"/>
    <mergeCell ref="A73:B73"/>
    <mergeCell ref="A396:B396"/>
    <mergeCell ref="A527:B527"/>
    <mergeCell ref="E347:F347"/>
    <mergeCell ref="G268:H268"/>
    <mergeCell ref="A398:B398"/>
    <mergeCell ref="E51:F51"/>
    <mergeCell ref="E349:F349"/>
    <mergeCell ref="E220:F220"/>
    <mergeCell ref="E518:F518"/>
    <mergeCell ref="G413:H413"/>
    <mergeCell ref="G407:H407"/>
    <mergeCell ref="E105:F105"/>
    <mergeCell ref="E99:F99"/>
    <mergeCell ref="E101:F101"/>
    <mergeCell ref="G163:H163"/>
    <mergeCell ref="E405:F405"/>
    <mergeCell ref="E100:F100"/>
    <mergeCell ref="E136:F136"/>
    <mergeCell ref="G165:H165"/>
    <mergeCell ref="E434:F434"/>
    <mergeCell ref="A32:B32"/>
    <mergeCell ref="A303:B303"/>
    <mergeCell ref="E125:F125"/>
    <mergeCell ref="A332:B332"/>
    <mergeCell ref="E283:F283"/>
    <mergeCell ref="G41:H41"/>
    <mergeCell ref="E277:F277"/>
    <mergeCell ref="E285:F285"/>
    <mergeCell ref="G43:H43"/>
    <mergeCell ref="G341:H341"/>
    <mergeCell ref="E278:F278"/>
    <mergeCell ref="G36:H36"/>
    <mergeCell ref="A473:B473"/>
    <mergeCell ref="A16:B16"/>
    <mergeCell ref="A174:B174"/>
    <mergeCell ref="A472:B472"/>
    <mergeCell ref="E295:F295"/>
    <mergeCell ref="A18:B18"/>
    <mergeCell ref="G18:H18"/>
    <mergeCell ref="A295:B295"/>
    <mergeCell ref="G44:H44"/>
    <mergeCell ref="E102:F102"/>
    <mergeCell ref="E400:F400"/>
    <mergeCell ref="G158:H158"/>
    <mergeCell ref="G77:H77"/>
    <mergeCell ref="G375:H375"/>
    <mergeCell ref="A182:B182"/>
    <mergeCell ref="E127:F127"/>
    <mergeCell ref="A296:B296"/>
    <mergeCell ref="E433:F433"/>
    <mergeCell ref="G191:H191"/>
    <mergeCell ref="A177:B177"/>
    <mergeCell ref="A46:B46"/>
    <mergeCell ref="E211:F211"/>
    <mergeCell ref="E509:F509"/>
    <mergeCell ref="A105:B105"/>
    <mergeCell ref="A376:B376"/>
    <mergeCell ref="G398:H398"/>
    <mergeCell ref="A71:B71"/>
    <mergeCell ref="G275:H275"/>
    <mergeCell ref="E511:F511"/>
    <mergeCell ref="G269:H269"/>
    <mergeCell ref="A405:B405"/>
    <mergeCell ref="A100:B100"/>
    <mergeCell ref="G302:H302"/>
    <mergeCell ref="A371:B371"/>
    <mergeCell ref="A407:B407"/>
    <mergeCell ref="A529:B529"/>
    <mergeCell ref="A102:B102"/>
    <mergeCell ref="A400:B400"/>
    <mergeCell ref="E351:F351"/>
    <mergeCell ref="A402:B402"/>
    <mergeCell ref="E141:F141"/>
    <mergeCell ref="E135:F135"/>
    <mergeCell ref="E439:F439"/>
    <mergeCell ref="G328:H328"/>
    <mergeCell ref="E224:F224"/>
    <mergeCell ref="E107:F107"/>
    <mergeCell ref="E143:F143"/>
    <mergeCell ref="G172:H172"/>
    <mergeCell ref="E441:F441"/>
    <mergeCell ref="G199:H199"/>
    <mergeCell ref="E435:F435"/>
    <mergeCell ref="G288:H288"/>
    <mergeCell ref="G6:H6"/>
    <mergeCell ref="E546:F546"/>
    <mergeCell ref="G304:H304"/>
    <mergeCell ref="E540:F540"/>
    <mergeCell ref="A434:B434"/>
    <mergeCell ref="G515:H515"/>
    <mergeCell ref="G490:H490"/>
    <mergeCell ref="A321:B321"/>
    <mergeCell ref="A323:B323"/>
    <mergeCell ref="A289:B289"/>
    <mergeCell ref="E109:F109"/>
    <mergeCell ref="E145:F145"/>
    <mergeCell ref="E139:F139"/>
    <mergeCell ref="E111:F111"/>
    <mergeCell ref="A462:B462"/>
    <mergeCell ref="E470:F470"/>
    <mergeCell ref="G228:H228"/>
    <mergeCell ref="A7:B7"/>
    <mergeCell ref="A305:B305"/>
    <mergeCell ref="G528:H528"/>
    <mergeCell ref="G231:H231"/>
    <mergeCell ref="A361:B361"/>
    <mergeCell ref="E498:F498"/>
    <mergeCell ref="G256:H256"/>
    <mergeCell ref="E183:F183"/>
    <mergeCell ref="A392:B392"/>
    <mergeCell ref="E193:F193"/>
    <mergeCell ref="A475:B475"/>
    <mergeCell ref="G247:H247"/>
    <mergeCell ref="E483:F483"/>
    <mergeCell ref="G257:H257"/>
    <mergeCell ref="A45:B45"/>
    <mergeCell ref="E16:F16"/>
    <mergeCell ref="A494:B494"/>
    <mergeCell ref="E174:F174"/>
    <mergeCell ref="G203:H203"/>
    <mergeCell ref="E472:F472"/>
    <mergeCell ref="G230:H230"/>
    <mergeCell ref="G361:H361"/>
    <mergeCell ref="G537:H537"/>
    <mergeCell ref="E18:F18"/>
    <mergeCell ref="A34:B34"/>
    <mergeCell ref="G238:H238"/>
    <mergeCell ref="E474:F474"/>
    <mergeCell ref="G232:H232"/>
    <mergeCell ref="A368:B368"/>
    <mergeCell ref="G530:H530"/>
    <mergeCell ref="A36:B36"/>
    <mergeCell ref="A334:B334"/>
    <mergeCell ref="A370:B370"/>
    <mergeCell ref="G532:H532"/>
    <mergeCell ref="A205:B205"/>
    <mergeCell ref="A65:B65"/>
    <mergeCell ref="A363:B363"/>
    <mergeCell ref="E69:F69"/>
    <mergeCell ref="E158:F158"/>
    <mergeCell ref="A365:B365"/>
    <mergeCell ref="E77:F77"/>
    <mergeCell ref="E492:F492"/>
    <mergeCell ref="G133:H133"/>
    <mergeCell ref="E369:F369"/>
    <mergeCell ref="E527:F527"/>
    <mergeCell ref="E485:F485"/>
    <mergeCell ref="G135:H135"/>
    <mergeCell ref="G59:H59"/>
    <mergeCell ref="E117:F117"/>
    <mergeCell ref="G67:H67"/>
    <mergeCell ref="E303:F303"/>
    <mergeCell ref="G61:H61"/>
    <mergeCell ref="G359:H359"/>
    <mergeCell ref="G219:H219"/>
    <mergeCell ref="E417:F417"/>
    <mergeCell ref="G517:H517"/>
    <mergeCell ref="G519:H519"/>
    <mergeCell ref="G62:H62"/>
    <mergeCell ref="A192:B192"/>
    <mergeCell ref="A194:B194"/>
    <mergeCell ref="E443:F443"/>
    <mergeCell ref="G201:H201"/>
    <mergeCell ref="E473:F473"/>
    <mergeCell ref="G535:H535"/>
    <mergeCell ref="G433:H433"/>
    <mergeCell ref="E72:F72"/>
    <mergeCell ref="G164:H164"/>
    <mergeCell ref="A258:B258"/>
    <mergeCell ref="G217:H217"/>
    <mergeCell ref="A266:B266"/>
    <mergeCell ref="A260:B260"/>
    <mergeCell ref="E88:F88"/>
    <mergeCell ref="E126:F126"/>
    <mergeCell ref="E82:F82"/>
    <mergeCell ref="E240:F240"/>
    <mergeCell ref="G190:H190"/>
    <mergeCell ref="G146:H146"/>
    <mergeCell ref="A387:B387"/>
    <mergeCell ref="E514:F514"/>
    <mergeCell ref="E376:F376"/>
    <mergeCell ref="A257:B257"/>
    <mergeCell ref="A555:B555"/>
    <mergeCell ref="E71:F71"/>
    <mergeCell ref="A549:B549"/>
    <mergeCell ref="E79:F79"/>
    <mergeCell ref="E73:F73"/>
    <mergeCell ref="E371:F371"/>
    <mergeCell ref="G137:H137"/>
    <mergeCell ref="A267:B267"/>
    <mergeCell ref="A425:B425"/>
    <mergeCell ref="G139:H139"/>
    <mergeCell ref="G489:H489"/>
    <mergeCell ref="A269:B269"/>
    <mergeCell ref="G168:H168"/>
    <mergeCell ref="A262:B262"/>
    <mergeCell ref="G491:H491"/>
    <mergeCell ref="E547:F547"/>
    <mergeCell ref="G522:H522"/>
    <mergeCell ref="E543:F543"/>
    <mergeCell ref="E545:F545"/>
    <mergeCell ref="E538:F538"/>
    <mergeCell ref="G554:H554"/>
    <mergeCell ref="G272:H272"/>
    <mergeCell ref="E209:F209"/>
    <mergeCell ref="A345:B345"/>
    <mergeCell ref="A547:B547"/>
    <mergeCell ref="A120:B120"/>
    <mergeCell ref="A301:B301"/>
    <mergeCell ref="G323:H323"/>
    <mergeCell ref="G499:H499"/>
    <mergeCell ref="A113:B1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2116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13.5546875" style="1" bestFit="1" customWidth="1"/>
    <col min="2" max="2" width="13.5546875" style="2" bestFit="1" customWidth="1"/>
    <col min="3" max="3" width="10" bestFit="1" customWidth="1"/>
    <col min="4" max="6" width="13.5546875" style="3" bestFit="1" customWidth="1"/>
    <col min="7" max="7" width="13.5546875" style="4" bestFit="1" customWidth="1"/>
    <col min="8" max="8" width="10.109375" style="4" bestFit="1" customWidth="1"/>
    <col min="9" max="9" width="13.33203125" bestFit="1" customWidth="1"/>
    <col min="10" max="15" width="13.5546875" bestFit="1" customWidth="1"/>
  </cols>
  <sheetData>
    <row r="1" spans="1:11" ht="18.75" customHeight="1" x14ac:dyDescent="0.4">
      <c r="A1" s="45" t="s">
        <v>0</v>
      </c>
      <c r="B1" s="39"/>
      <c r="C1" s="40"/>
      <c r="D1" s="41"/>
      <c r="E1" s="41"/>
      <c r="F1" s="41"/>
      <c r="G1" s="42"/>
      <c r="H1" s="42"/>
      <c r="I1" s="40"/>
      <c r="J1" s="40"/>
      <c r="K1" s="40"/>
    </row>
    <row r="2" spans="1:11" ht="18.75" customHeight="1" x14ac:dyDescent="0.3">
      <c r="A2" s="38" t="s">
        <v>1</v>
      </c>
      <c r="B2" s="39"/>
      <c r="C2" s="40"/>
      <c r="D2" s="41"/>
      <c r="E2" s="41"/>
      <c r="F2" s="41"/>
      <c r="G2" s="42"/>
      <c r="H2" s="42"/>
      <c r="I2" s="40"/>
      <c r="J2" s="40"/>
      <c r="K2" s="40"/>
    </row>
    <row r="3" spans="1:11" ht="18.75" customHeight="1" x14ac:dyDescent="0.3">
      <c r="A3" s="38" t="s">
        <v>2</v>
      </c>
      <c r="B3" s="39"/>
      <c r="C3" s="40"/>
      <c r="D3" s="41"/>
      <c r="E3" s="41"/>
      <c r="F3" s="41"/>
      <c r="G3" s="42"/>
      <c r="H3" s="42"/>
      <c r="I3" s="40"/>
      <c r="J3" s="40"/>
      <c r="K3" s="40"/>
    </row>
    <row r="4" spans="1:11" ht="18.75" customHeight="1" x14ac:dyDescent="0.3"/>
    <row r="5" spans="1:11" ht="18.75" customHeight="1" x14ac:dyDescent="0.3">
      <c r="A5" s="43" t="s">
        <v>3</v>
      </c>
      <c r="B5" s="39"/>
      <c r="C5" s="40"/>
      <c r="D5" s="41"/>
      <c r="E5" s="41"/>
      <c r="F5" s="41"/>
      <c r="G5" s="42"/>
      <c r="H5" s="42"/>
      <c r="I5" s="40"/>
      <c r="J5" s="40"/>
      <c r="K5" s="40"/>
    </row>
    <row r="6" spans="1:11" ht="18.75" customHeight="1" x14ac:dyDescent="0.3">
      <c r="A6" s="30" t="s">
        <v>4</v>
      </c>
      <c r="B6" s="29"/>
      <c r="C6" s="5" t="s">
        <v>5</v>
      </c>
      <c r="D6" s="6" t="s">
        <v>6</v>
      </c>
      <c r="E6" s="47" t="s">
        <v>7</v>
      </c>
      <c r="F6" s="29"/>
      <c r="G6" s="33" t="s">
        <v>8</v>
      </c>
      <c r="H6" s="29"/>
      <c r="I6" s="5" t="s">
        <v>9</v>
      </c>
      <c r="J6" s="5" t="s">
        <v>10</v>
      </c>
      <c r="K6" s="5" t="s">
        <v>11</v>
      </c>
    </row>
    <row r="7" spans="1:11" ht="18.75" customHeight="1" x14ac:dyDescent="0.3">
      <c r="A7" s="30">
        <v>25</v>
      </c>
      <c r="B7" s="29"/>
      <c r="C7" s="5" t="s">
        <v>14</v>
      </c>
      <c r="D7" s="7">
        <v>227</v>
      </c>
      <c r="E7" s="31">
        <v>12582</v>
      </c>
      <c r="F7" s="29"/>
      <c r="G7" s="32">
        <v>45110</v>
      </c>
      <c r="H7" s="29"/>
      <c r="I7" s="5" t="s">
        <v>69</v>
      </c>
      <c r="J7" s="5" t="s">
        <v>70</v>
      </c>
      <c r="K7" s="5" t="s">
        <v>71</v>
      </c>
    </row>
    <row r="8" spans="1:11" ht="18.75" customHeight="1" x14ac:dyDescent="0.3">
      <c r="A8" s="30">
        <v>26</v>
      </c>
      <c r="B8" s="29"/>
      <c r="C8" s="5" t="s">
        <v>40</v>
      </c>
      <c r="D8" s="7">
        <v>387</v>
      </c>
      <c r="E8" s="31">
        <v>90090</v>
      </c>
      <c r="F8" s="29"/>
      <c r="G8" s="32">
        <v>45110</v>
      </c>
      <c r="H8" s="29"/>
      <c r="I8" s="5" t="s">
        <v>69</v>
      </c>
      <c r="J8" s="5" t="s">
        <v>70</v>
      </c>
      <c r="K8" s="5"/>
    </row>
    <row r="9" spans="1:11" ht="18.75" customHeight="1" x14ac:dyDescent="0.3">
      <c r="A9" s="30">
        <v>27</v>
      </c>
      <c r="B9" s="29"/>
      <c r="C9" s="5" t="s">
        <v>40</v>
      </c>
      <c r="D9" s="7">
        <v>312</v>
      </c>
      <c r="E9" s="31">
        <v>81129</v>
      </c>
      <c r="F9" s="29"/>
      <c r="G9" s="32">
        <v>45110</v>
      </c>
      <c r="H9" s="29"/>
      <c r="I9" s="5" t="s">
        <v>69</v>
      </c>
      <c r="J9" s="5" t="s">
        <v>70</v>
      </c>
      <c r="K9" s="5"/>
    </row>
    <row r="10" spans="1:11" ht="18.75" customHeight="1" x14ac:dyDescent="0.3">
      <c r="A10" s="30">
        <v>28</v>
      </c>
      <c r="B10" s="29"/>
      <c r="C10" s="5" t="s">
        <v>40</v>
      </c>
      <c r="D10" s="7">
        <v>269</v>
      </c>
      <c r="E10" s="31">
        <v>90101</v>
      </c>
      <c r="F10" s="29"/>
      <c r="G10" s="32">
        <v>45110</v>
      </c>
      <c r="H10" s="29"/>
      <c r="I10" s="5" t="s">
        <v>69</v>
      </c>
      <c r="J10" s="5" t="s">
        <v>70</v>
      </c>
      <c r="K10" s="5" t="s">
        <v>71</v>
      </c>
    </row>
    <row r="11" spans="1:11" ht="18.75" customHeight="1" x14ac:dyDescent="0.3">
      <c r="A11" s="30">
        <v>29</v>
      </c>
      <c r="B11" s="29"/>
      <c r="C11" s="5" t="s">
        <v>14</v>
      </c>
      <c r="D11" s="7">
        <v>183</v>
      </c>
      <c r="E11" s="31">
        <v>12592</v>
      </c>
      <c r="F11" s="29"/>
      <c r="G11" s="32">
        <v>45111</v>
      </c>
      <c r="H11" s="29"/>
      <c r="I11" s="5" t="s">
        <v>69</v>
      </c>
      <c r="J11" s="5" t="s">
        <v>70</v>
      </c>
      <c r="K11" s="5"/>
    </row>
    <row r="12" spans="1:11" ht="18.75" customHeight="1" x14ac:dyDescent="0.3">
      <c r="A12" s="30">
        <v>30</v>
      </c>
      <c r="B12" s="29"/>
      <c r="C12" s="5" t="s">
        <v>40</v>
      </c>
      <c r="D12" s="7">
        <v>266</v>
      </c>
      <c r="E12" s="31">
        <v>90124</v>
      </c>
      <c r="F12" s="29"/>
      <c r="G12" s="32">
        <v>45111</v>
      </c>
      <c r="H12" s="29"/>
      <c r="I12" s="5" t="s">
        <v>69</v>
      </c>
      <c r="J12" s="5" t="s">
        <v>70</v>
      </c>
      <c r="K12" s="5"/>
    </row>
    <row r="13" spans="1:11" ht="18.75" customHeight="1" x14ac:dyDescent="0.3">
      <c r="A13" s="30">
        <v>31</v>
      </c>
      <c r="B13" s="29"/>
      <c r="C13" s="5" t="s">
        <v>40</v>
      </c>
      <c r="D13" s="7">
        <v>266</v>
      </c>
      <c r="E13" s="31">
        <v>90135</v>
      </c>
      <c r="F13" s="29"/>
      <c r="G13" s="32">
        <v>45112</v>
      </c>
      <c r="H13" s="29"/>
      <c r="I13" s="5" t="s">
        <v>69</v>
      </c>
      <c r="J13" s="5" t="s">
        <v>71</v>
      </c>
      <c r="K13" s="5"/>
    </row>
    <row r="14" spans="1:11" ht="18.75" customHeight="1" x14ac:dyDescent="0.3">
      <c r="A14" s="30">
        <v>32</v>
      </c>
      <c r="B14" s="29"/>
      <c r="C14" s="5" t="s">
        <v>40</v>
      </c>
      <c r="D14" s="7">
        <v>254</v>
      </c>
      <c r="E14" s="31">
        <v>90154</v>
      </c>
      <c r="F14" s="29"/>
      <c r="G14" s="32">
        <v>45112</v>
      </c>
      <c r="H14" s="29"/>
      <c r="I14" s="5" t="s">
        <v>69</v>
      </c>
      <c r="J14" s="5" t="s">
        <v>71</v>
      </c>
      <c r="K14" s="5"/>
    </row>
    <row r="15" spans="1:11" ht="18.75" customHeight="1" x14ac:dyDescent="0.3">
      <c r="A15" s="30">
        <v>33</v>
      </c>
      <c r="B15" s="29"/>
      <c r="C15" s="5" t="s">
        <v>14</v>
      </c>
      <c r="D15" s="7">
        <v>127</v>
      </c>
      <c r="E15" s="31">
        <v>15957</v>
      </c>
      <c r="F15" s="29"/>
      <c r="G15" s="32">
        <v>45113</v>
      </c>
      <c r="H15" s="29"/>
      <c r="I15" s="5" t="s">
        <v>69</v>
      </c>
      <c r="J15" s="5" t="s">
        <v>70</v>
      </c>
      <c r="K15" s="5"/>
    </row>
    <row r="16" spans="1:11" ht="18.75" customHeight="1" x14ac:dyDescent="0.3">
      <c r="A16" s="30">
        <v>34</v>
      </c>
      <c r="B16" s="29"/>
      <c r="C16" s="5" t="s">
        <v>40</v>
      </c>
      <c r="D16" s="7">
        <v>264</v>
      </c>
      <c r="E16" s="31">
        <v>90172</v>
      </c>
      <c r="F16" s="29"/>
      <c r="G16" s="32">
        <v>45113</v>
      </c>
      <c r="H16" s="29"/>
      <c r="I16" s="5" t="s">
        <v>69</v>
      </c>
      <c r="J16" s="5"/>
      <c r="K16" s="5"/>
    </row>
    <row r="17" spans="1:11" ht="18.75" customHeight="1" x14ac:dyDescent="0.3">
      <c r="A17" s="30">
        <v>35</v>
      </c>
      <c r="B17" s="29"/>
      <c r="C17" s="5" t="s">
        <v>40</v>
      </c>
      <c r="D17" s="7">
        <v>263</v>
      </c>
      <c r="E17" s="31">
        <v>90177</v>
      </c>
      <c r="F17" s="29"/>
      <c r="G17" s="32">
        <v>45113</v>
      </c>
      <c r="H17" s="29"/>
      <c r="I17" s="5" t="s">
        <v>69</v>
      </c>
      <c r="J17" s="5"/>
      <c r="K17" s="5"/>
    </row>
    <row r="18" spans="1:11" ht="18.75" customHeight="1" x14ac:dyDescent="0.3">
      <c r="A18" s="30">
        <v>36</v>
      </c>
      <c r="B18" s="29"/>
      <c r="C18" s="5" t="s">
        <v>14</v>
      </c>
      <c r="D18" s="7">
        <v>157</v>
      </c>
      <c r="E18" s="31">
        <v>15969</v>
      </c>
      <c r="F18" s="29"/>
      <c r="G18" s="32">
        <v>45114</v>
      </c>
      <c r="H18" s="29"/>
      <c r="I18" s="5" t="s">
        <v>69</v>
      </c>
      <c r="J18" s="5" t="s">
        <v>70</v>
      </c>
      <c r="K18" s="5" t="s">
        <v>72</v>
      </c>
    </row>
    <row r="19" spans="1:11" ht="18.75" customHeight="1" x14ac:dyDescent="0.3">
      <c r="A19" s="30">
        <v>37</v>
      </c>
      <c r="B19" s="29"/>
      <c r="C19" s="5" t="s">
        <v>40</v>
      </c>
      <c r="D19" s="7">
        <v>268</v>
      </c>
      <c r="E19" s="31">
        <v>90198</v>
      </c>
      <c r="F19" s="29"/>
      <c r="G19" s="32">
        <v>45114</v>
      </c>
      <c r="H19" s="29"/>
      <c r="I19" s="5" t="s">
        <v>69</v>
      </c>
      <c r="J19" s="5" t="s">
        <v>70</v>
      </c>
      <c r="K19" s="5" t="s">
        <v>72</v>
      </c>
    </row>
    <row r="20" spans="1:11" ht="18.75" customHeight="1" x14ac:dyDescent="0.3">
      <c r="A20" s="30">
        <v>38</v>
      </c>
      <c r="B20" s="29"/>
      <c r="C20" s="5" t="s">
        <v>40</v>
      </c>
      <c r="D20" s="7">
        <v>260</v>
      </c>
      <c r="E20" s="31">
        <v>90202</v>
      </c>
      <c r="F20" s="29"/>
      <c r="G20" s="32">
        <v>45114</v>
      </c>
      <c r="H20" s="29"/>
      <c r="I20" s="5" t="s">
        <v>69</v>
      </c>
      <c r="J20" s="5" t="s">
        <v>70</v>
      </c>
      <c r="K20" s="5" t="s">
        <v>71</v>
      </c>
    </row>
    <row r="21" spans="1:11" ht="18.75" customHeight="1" x14ac:dyDescent="0.3">
      <c r="A21" s="30">
        <v>39</v>
      </c>
      <c r="B21" s="29"/>
      <c r="C21" s="5" t="s">
        <v>14</v>
      </c>
      <c r="D21" s="7">
        <v>171</v>
      </c>
      <c r="E21" s="31">
        <v>15982</v>
      </c>
      <c r="F21" s="29"/>
      <c r="G21" s="32">
        <v>45115</v>
      </c>
      <c r="H21" s="29"/>
      <c r="I21" s="5" t="s">
        <v>69</v>
      </c>
      <c r="J21" s="5" t="s">
        <v>70</v>
      </c>
      <c r="K21" s="5" t="s">
        <v>71</v>
      </c>
    </row>
    <row r="22" spans="1:11" ht="18.75" customHeight="1" x14ac:dyDescent="0.3">
      <c r="A22" s="30">
        <v>40</v>
      </c>
      <c r="B22" s="29"/>
      <c r="C22" s="5" t="s">
        <v>40</v>
      </c>
      <c r="D22" s="7">
        <v>260</v>
      </c>
      <c r="E22" s="31">
        <v>90223</v>
      </c>
      <c r="F22" s="29"/>
      <c r="G22" s="32">
        <v>45115</v>
      </c>
      <c r="H22" s="29"/>
      <c r="I22" s="5" t="s">
        <v>69</v>
      </c>
      <c r="J22" s="5"/>
      <c r="K22" s="5"/>
    </row>
    <row r="23" spans="1:11" ht="18.75" customHeight="1" x14ac:dyDescent="0.3">
      <c r="A23" s="30">
        <v>41</v>
      </c>
      <c r="B23" s="29"/>
      <c r="C23" s="5" t="s">
        <v>40</v>
      </c>
      <c r="D23" s="7">
        <v>251</v>
      </c>
      <c r="E23" s="31">
        <v>90228</v>
      </c>
      <c r="F23" s="29"/>
      <c r="G23" s="32">
        <v>45115</v>
      </c>
      <c r="H23" s="29"/>
      <c r="I23" s="5" t="s">
        <v>69</v>
      </c>
      <c r="J23" s="5" t="s">
        <v>73</v>
      </c>
      <c r="K23" s="5" t="s">
        <v>71</v>
      </c>
    </row>
    <row r="24" spans="1:11" ht="18.75" customHeight="1" x14ac:dyDescent="0.3">
      <c r="A24" s="30">
        <v>42</v>
      </c>
      <c r="B24" s="29"/>
      <c r="C24" s="5" t="s">
        <v>40</v>
      </c>
      <c r="D24" s="7">
        <v>259</v>
      </c>
      <c r="E24" s="31">
        <v>90261</v>
      </c>
      <c r="F24" s="29"/>
      <c r="G24" s="32">
        <v>45117</v>
      </c>
      <c r="H24" s="29"/>
      <c r="I24" s="5" t="s">
        <v>69</v>
      </c>
      <c r="J24" s="5" t="s">
        <v>70</v>
      </c>
      <c r="K24" s="5" t="s">
        <v>71</v>
      </c>
    </row>
    <row r="25" spans="1:11" ht="18.75" customHeight="1" x14ac:dyDescent="0.3">
      <c r="A25" s="30">
        <v>43</v>
      </c>
      <c r="B25" s="29"/>
      <c r="C25" s="5" t="s">
        <v>40</v>
      </c>
      <c r="D25" s="7">
        <v>260</v>
      </c>
      <c r="E25" s="31">
        <v>90256</v>
      </c>
      <c r="F25" s="29"/>
      <c r="G25" s="32">
        <v>45117</v>
      </c>
      <c r="H25" s="29"/>
      <c r="I25" s="5" t="s">
        <v>69</v>
      </c>
      <c r="J25" s="5" t="s">
        <v>70</v>
      </c>
      <c r="K25" s="5" t="s">
        <v>71</v>
      </c>
    </row>
    <row r="26" spans="1:11" ht="18.75" customHeight="1" x14ac:dyDescent="0.3">
      <c r="A26" s="30">
        <v>44</v>
      </c>
      <c r="B26" s="29"/>
      <c r="C26" s="5" t="s">
        <v>40</v>
      </c>
      <c r="D26" s="7">
        <v>264</v>
      </c>
      <c r="E26" s="31">
        <v>90283</v>
      </c>
      <c r="F26" s="29"/>
      <c r="G26" s="32">
        <v>45118</v>
      </c>
      <c r="H26" s="29"/>
      <c r="I26" s="5" t="s">
        <v>69</v>
      </c>
      <c r="J26" s="5"/>
      <c r="K26" s="5"/>
    </row>
    <row r="27" spans="1:11" ht="18.75" customHeight="1" x14ac:dyDescent="0.3">
      <c r="A27" s="30">
        <v>45</v>
      </c>
      <c r="B27" s="29"/>
      <c r="C27" s="5" t="s">
        <v>40</v>
      </c>
      <c r="D27" s="7">
        <v>310</v>
      </c>
      <c r="E27" s="31">
        <v>90290</v>
      </c>
      <c r="F27" s="29"/>
      <c r="G27" s="32">
        <v>45119</v>
      </c>
      <c r="H27" s="29"/>
      <c r="I27" s="5" t="s">
        <v>69</v>
      </c>
      <c r="J27" s="5" t="s">
        <v>70</v>
      </c>
      <c r="K27" s="5" t="s">
        <v>71</v>
      </c>
    </row>
    <row r="28" spans="1:11" ht="18.75" customHeight="1" x14ac:dyDescent="0.3">
      <c r="A28" s="30">
        <v>46</v>
      </c>
      <c r="B28" s="29"/>
      <c r="C28" s="5" t="s">
        <v>40</v>
      </c>
      <c r="D28" s="7">
        <v>263</v>
      </c>
      <c r="E28" s="31">
        <v>90302</v>
      </c>
      <c r="F28" s="29"/>
      <c r="G28" s="32">
        <v>45119</v>
      </c>
      <c r="H28" s="29"/>
      <c r="I28" s="5" t="s">
        <v>69</v>
      </c>
      <c r="J28" s="5"/>
      <c r="K28" s="5"/>
    </row>
    <row r="29" spans="1:11" ht="18.75" customHeight="1" x14ac:dyDescent="0.3">
      <c r="A29" s="30">
        <v>47</v>
      </c>
      <c r="B29" s="29"/>
      <c r="C29" s="5" t="s">
        <v>40</v>
      </c>
      <c r="D29" s="7">
        <v>259</v>
      </c>
      <c r="E29" s="31">
        <v>90349</v>
      </c>
      <c r="F29" s="29"/>
      <c r="G29" s="32">
        <v>45120</v>
      </c>
      <c r="H29" s="29"/>
      <c r="I29" s="5" t="s">
        <v>69</v>
      </c>
      <c r="J29" s="5"/>
      <c r="K29" s="5"/>
    </row>
    <row r="30" spans="1:11" ht="18.75" customHeight="1" x14ac:dyDescent="0.3">
      <c r="A30" s="30">
        <v>48</v>
      </c>
      <c r="B30" s="29"/>
      <c r="C30" s="5" t="s">
        <v>40</v>
      </c>
      <c r="D30" s="7">
        <v>262</v>
      </c>
      <c r="E30" s="31">
        <v>90334</v>
      </c>
      <c r="F30" s="29"/>
      <c r="G30" s="32">
        <v>45120</v>
      </c>
      <c r="H30" s="29"/>
      <c r="I30" s="5" t="s">
        <v>69</v>
      </c>
      <c r="J30" s="5"/>
      <c r="K30" s="5"/>
    </row>
    <row r="31" spans="1:11" ht="18.75" customHeight="1" x14ac:dyDescent="0.3">
      <c r="A31" s="30">
        <v>49</v>
      </c>
      <c r="B31" s="29"/>
      <c r="C31" s="5" t="s">
        <v>40</v>
      </c>
      <c r="D31" s="7">
        <v>265</v>
      </c>
      <c r="E31" s="31">
        <v>90358</v>
      </c>
      <c r="F31" s="29"/>
      <c r="G31" s="32">
        <v>45121</v>
      </c>
      <c r="H31" s="29"/>
      <c r="I31" s="5" t="s">
        <v>69</v>
      </c>
      <c r="J31" s="5" t="s">
        <v>70</v>
      </c>
      <c r="K31" s="5" t="s">
        <v>71</v>
      </c>
    </row>
    <row r="32" spans="1:11" ht="18.75" customHeight="1" x14ac:dyDescent="0.3">
      <c r="A32" s="30">
        <v>50</v>
      </c>
      <c r="B32" s="29"/>
      <c r="C32" s="5" t="s">
        <v>40</v>
      </c>
      <c r="D32" s="7">
        <v>259</v>
      </c>
      <c r="E32" s="31">
        <v>90375</v>
      </c>
      <c r="F32" s="29"/>
      <c r="G32" s="32">
        <v>45122</v>
      </c>
      <c r="H32" s="29"/>
      <c r="I32" s="5" t="s">
        <v>69</v>
      </c>
      <c r="J32" s="5" t="s">
        <v>70</v>
      </c>
      <c r="K32" s="5"/>
    </row>
    <row r="33" spans="1:11" ht="18.75" customHeight="1" x14ac:dyDescent="0.3">
      <c r="A33" s="30">
        <v>51</v>
      </c>
      <c r="B33" s="29"/>
      <c r="C33" s="5" t="s">
        <v>14</v>
      </c>
      <c r="D33" s="7">
        <v>219</v>
      </c>
      <c r="E33" s="31">
        <v>15972</v>
      </c>
      <c r="F33" s="29"/>
      <c r="G33" s="32">
        <v>45117</v>
      </c>
      <c r="H33" s="29"/>
      <c r="I33" s="5" t="s">
        <v>69</v>
      </c>
      <c r="J33" s="5" t="s">
        <v>70</v>
      </c>
      <c r="K33" s="5" t="s">
        <v>72</v>
      </c>
    </row>
    <row r="34" spans="1:11" ht="18.75" customHeight="1" x14ac:dyDescent="0.3">
      <c r="A34" s="30">
        <v>52</v>
      </c>
      <c r="B34" s="29"/>
      <c r="C34" s="5" t="s">
        <v>14</v>
      </c>
      <c r="D34" s="7">
        <v>139</v>
      </c>
      <c r="E34" s="31">
        <v>15998</v>
      </c>
      <c r="F34" s="29"/>
      <c r="G34" s="32">
        <v>45118</v>
      </c>
      <c r="H34" s="29"/>
      <c r="I34" s="5" t="s">
        <v>69</v>
      </c>
      <c r="J34" s="5" t="s">
        <v>70</v>
      </c>
      <c r="K34" s="5" t="s">
        <v>71</v>
      </c>
    </row>
    <row r="35" spans="1:11" ht="18.75" customHeight="1" x14ac:dyDescent="0.3">
      <c r="A35" s="30">
        <v>53</v>
      </c>
      <c r="B35" s="29"/>
      <c r="C35" s="5" t="s">
        <v>14</v>
      </c>
      <c r="D35" s="7">
        <v>149</v>
      </c>
      <c r="E35" s="31">
        <v>15151</v>
      </c>
      <c r="F35" s="29"/>
      <c r="G35" s="32">
        <v>45119</v>
      </c>
      <c r="H35" s="29"/>
      <c r="I35" s="5" t="s">
        <v>69</v>
      </c>
      <c r="J35" s="5" t="s">
        <v>70</v>
      </c>
      <c r="K35" s="5" t="s">
        <v>71</v>
      </c>
    </row>
    <row r="36" spans="1:11" ht="18.75" customHeight="1" x14ac:dyDescent="0.3">
      <c r="A36" s="30">
        <v>54</v>
      </c>
      <c r="B36" s="29"/>
      <c r="C36" s="5" t="s">
        <v>14</v>
      </c>
      <c r="D36" s="7">
        <v>160</v>
      </c>
      <c r="E36" s="31">
        <v>15174</v>
      </c>
      <c r="F36" s="29"/>
      <c r="G36" s="32">
        <v>45120</v>
      </c>
      <c r="H36" s="29"/>
      <c r="I36" s="5" t="s">
        <v>69</v>
      </c>
      <c r="J36" s="5" t="s">
        <v>70</v>
      </c>
      <c r="K36" s="5" t="s">
        <v>71</v>
      </c>
    </row>
    <row r="37" spans="1:11" ht="18.75" customHeight="1" x14ac:dyDescent="0.3">
      <c r="A37" s="30">
        <v>55</v>
      </c>
      <c r="B37" s="29"/>
      <c r="C37" s="5" t="s">
        <v>14</v>
      </c>
      <c r="D37" s="7">
        <v>131</v>
      </c>
      <c r="E37" s="31">
        <v>15165</v>
      </c>
      <c r="F37" s="29"/>
      <c r="G37" s="32">
        <v>45121</v>
      </c>
      <c r="H37" s="29"/>
      <c r="I37" s="5" t="s">
        <v>69</v>
      </c>
      <c r="J37" s="5" t="s">
        <v>70</v>
      </c>
      <c r="K37" s="5" t="s">
        <v>71</v>
      </c>
    </row>
    <row r="38" spans="1:11" ht="18.75" customHeight="1" x14ac:dyDescent="0.3">
      <c r="A38" s="30">
        <v>56</v>
      </c>
      <c r="B38" s="29"/>
      <c r="C38" s="5" t="s">
        <v>14</v>
      </c>
      <c r="D38" s="7">
        <v>196</v>
      </c>
      <c r="E38" s="31">
        <v>15170</v>
      </c>
      <c r="F38" s="29"/>
      <c r="G38" s="32">
        <v>45122</v>
      </c>
      <c r="H38" s="29"/>
      <c r="I38" s="5" t="s">
        <v>69</v>
      </c>
      <c r="J38" s="5" t="s">
        <v>70</v>
      </c>
      <c r="K38" s="5" t="s">
        <v>71</v>
      </c>
    </row>
    <row r="39" spans="1:11" ht="18.75" customHeight="1" x14ac:dyDescent="0.3">
      <c r="A39" s="30">
        <v>57</v>
      </c>
      <c r="B39" s="29"/>
      <c r="C39" s="5" t="s">
        <v>14</v>
      </c>
      <c r="D39" s="7">
        <v>179</v>
      </c>
      <c r="E39" s="31">
        <v>15186</v>
      </c>
      <c r="F39" s="29"/>
      <c r="G39" s="32">
        <v>45123</v>
      </c>
      <c r="H39" s="29"/>
      <c r="I39" s="5" t="s">
        <v>69</v>
      </c>
      <c r="J39" s="5" t="s">
        <v>70</v>
      </c>
      <c r="K39" s="5" t="s">
        <v>71</v>
      </c>
    </row>
    <row r="40" spans="1:11" ht="18.75" customHeight="1" x14ac:dyDescent="0.3">
      <c r="A40" s="30">
        <v>58</v>
      </c>
      <c r="B40" s="29"/>
      <c r="C40" s="5" t="s">
        <v>40</v>
      </c>
      <c r="D40" s="7">
        <v>276</v>
      </c>
      <c r="E40" s="31">
        <v>90420</v>
      </c>
      <c r="F40" s="29"/>
      <c r="G40" s="32">
        <v>45125</v>
      </c>
      <c r="H40" s="29"/>
      <c r="I40" s="5" t="s">
        <v>69</v>
      </c>
      <c r="J40" s="5" t="s">
        <v>70</v>
      </c>
      <c r="K40" s="5" t="s">
        <v>71</v>
      </c>
    </row>
    <row r="41" spans="1:11" ht="18.75" customHeight="1" x14ac:dyDescent="0.3">
      <c r="A41" s="30">
        <v>59</v>
      </c>
      <c r="B41" s="29"/>
      <c r="C41" s="5" t="s">
        <v>40</v>
      </c>
      <c r="D41" s="7">
        <v>249</v>
      </c>
      <c r="E41" s="31">
        <v>90441</v>
      </c>
      <c r="F41" s="29"/>
      <c r="G41" s="32">
        <v>45126</v>
      </c>
      <c r="H41" s="29"/>
      <c r="I41" s="5" t="s">
        <v>69</v>
      </c>
      <c r="J41" s="5" t="s">
        <v>71</v>
      </c>
      <c r="K41" s="5" t="s">
        <v>17</v>
      </c>
    </row>
    <row r="42" spans="1:11" ht="18.75" customHeight="1" x14ac:dyDescent="0.3">
      <c r="A42" s="30">
        <v>60</v>
      </c>
      <c r="B42" s="29"/>
      <c r="C42" s="5" t="s">
        <v>40</v>
      </c>
      <c r="D42" s="7">
        <v>240</v>
      </c>
      <c r="E42" s="31">
        <v>90466</v>
      </c>
      <c r="F42" s="29"/>
      <c r="G42" s="32">
        <v>45127</v>
      </c>
      <c r="H42" s="29"/>
      <c r="I42" s="5" t="s">
        <v>69</v>
      </c>
      <c r="J42" s="5" t="s">
        <v>70</v>
      </c>
      <c r="K42" s="5" t="s">
        <v>71</v>
      </c>
    </row>
    <row r="43" spans="1:11" ht="18.75" customHeight="1" x14ac:dyDescent="0.3">
      <c r="A43" s="30">
        <v>61</v>
      </c>
      <c r="B43" s="29"/>
      <c r="C43" s="5" t="s">
        <v>40</v>
      </c>
      <c r="D43" s="7">
        <v>242</v>
      </c>
      <c r="E43" s="31">
        <v>90491</v>
      </c>
      <c r="F43" s="29"/>
      <c r="G43" s="32">
        <v>45128</v>
      </c>
      <c r="H43" s="29"/>
      <c r="I43" s="5" t="s">
        <v>69</v>
      </c>
      <c r="J43" s="5" t="s">
        <v>71</v>
      </c>
      <c r="K43" s="5" t="s">
        <v>17</v>
      </c>
    </row>
    <row r="44" spans="1:11" ht="18.75" customHeight="1" x14ac:dyDescent="0.3">
      <c r="A44" s="30">
        <v>62</v>
      </c>
      <c r="B44" s="29"/>
      <c r="C44" s="5" t="s">
        <v>40</v>
      </c>
      <c r="D44" s="7">
        <v>366</v>
      </c>
      <c r="E44" s="31">
        <v>90552</v>
      </c>
      <c r="F44" s="29"/>
      <c r="G44" s="32">
        <v>45129</v>
      </c>
      <c r="H44" s="29"/>
      <c r="I44" s="5" t="s">
        <v>69</v>
      </c>
      <c r="J44" s="5" t="s">
        <v>71</v>
      </c>
      <c r="K44" s="5" t="s">
        <v>17</v>
      </c>
    </row>
    <row r="45" spans="1:11" ht="18.75" customHeight="1" x14ac:dyDescent="0.3">
      <c r="A45" s="30">
        <v>63</v>
      </c>
      <c r="B45" s="29"/>
      <c r="C45" s="5" t="s">
        <v>40</v>
      </c>
      <c r="D45" s="7">
        <v>251</v>
      </c>
      <c r="E45" s="31">
        <v>90561</v>
      </c>
      <c r="F45" s="29"/>
      <c r="G45" s="32">
        <v>45129</v>
      </c>
      <c r="H45" s="29"/>
      <c r="I45" s="5" t="s">
        <v>69</v>
      </c>
      <c r="J45" s="5" t="s">
        <v>71</v>
      </c>
      <c r="K45" s="5" t="s">
        <v>17</v>
      </c>
    </row>
    <row r="46" spans="1:11" ht="18.75" customHeight="1" x14ac:dyDescent="0.3">
      <c r="A46" s="30">
        <v>64</v>
      </c>
      <c r="B46" s="29"/>
      <c r="C46" s="5" t="s">
        <v>14</v>
      </c>
      <c r="D46" s="7">
        <v>209</v>
      </c>
      <c r="E46" s="31">
        <v>15189</v>
      </c>
      <c r="F46" s="29"/>
      <c r="G46" s="32">
        <v>45124</v>
      </c>
      <c r="H46" s="29"/>
      <c r="I46" s="5" t="s">
        <v>69</v>
      </c>
      <c r="J46" s="5"/>
      <c r="K46" s="5"/>
    </row>
    <row r="47" spans="1:11" ht="18.75" customHeight="1" x14ac:dyDescent="0.3">
      <c r="A47" s="30">
        <v>65</v>
      </c>
      <c r="B47" s="29"/>
      <c r="C47" s="5" t="s">
        <v>14</v>
      </c>
      <c r="D47" s="7">
        <v>203</v>
      </c>
      <c r="E47" s="31">
        <v>89016</v>
      </c>
      <c r="F47" s="29"/>
      <c r="G47" s="32">
        <v>45125</v>
      </c>
      <c r="H47" s="29"/>
      <c r="I47" s="5" t="s">
        <v>69</v>
      </c>
      <c r="J47" s="5"/>
      <c r="K47" s="5"/>
    </row>
    <row r="48" spans="1:11" ht="18.75" customHeight="1" x14ac:dyDescent="0.3">
      <c r="A48" s="30">
        <v>66</v>
      </c>
      <c r="B48" s="29"/>
      <c r="C48" s="5" t="s">
        <v>14</v>
      </c>
      <c r="D48" s="7">
        <v>177</v>
      </c>
      <c r="E48" s="31">
        <v>15922</v>
      </c>
      <c r="F48" s="29"/>
      <c r="G48" s="32">
        <v>45126</v>
      </c>
      <c r="H48" s="29"/>
      <c r="I48" s="5" t="s">
        <v>69</v>
      </c>
      <c r="J48" s="5"/>
      <c r="K48" s="5"/>
    </row>
    <row r="49" spans="1:11" ht="18.75" customHeight="1" x14ac:dyDescent="0.3">
      <c r="A49" s="30">
        <v>67</v>
      </c>
      <c r="B49" s="29"/>
      <c r="C49" s="5" t="s">
        <v>14</v>
      </c>
      <c r="D49" s="7">
        <v>135</v>
      </c>
      <c r="E49" s="31">
        <v>15911</v>
      </c>
      <c r="F49" s="29"/>
      <c r="G49" s="32">
        <v>45127</v>
      </c>
      <c r="H49" s="29"/>
      <c r="I49" s="5" t="s">
        <v>69</v>
      </c>
      <c r="J49" s="5"/>
      <c r="K49" s="5"/>
    </row>
    <row r="50" spans="1:11" ht="18.75" customHeight="1" x14ac:dyDescent="0.3">
      <c r="A50" s="30">
        <v>68</v>
      </c>
      <c r="B50" s="29"/>
      <c r="C50" s="5" t="s">
        <v>14</v>
      </c>
      <c r="D50" s="7">
        <v>209</v>
      </c>
      <c r="E50" s="31">
        <v>89052</v>
      </c>
      <c r="F50" s="29"/>
      <c r="G50" s="32">
        <v>45128</v>
      </c>
      <c r="H50" s="29"/>
      <c r="I50" s="5" t="s">
        <v>69</v>
      </c>
      <c r="J50" s="5"/>
      <c r="K50" s="5"/>
    </row>
    <row r="51" spans="1:11" ht="18.75" customHeight="1" x14ac:dyDescent="0.3">
      <c r="A51" s="30">
        <v>69</v>
      </c>
      <c r="B51" s="29"/>
      <c r="C51" s="5" t="s">
        <v>40</v>
      </c>
      <c r="D51" s="7">
        <v>240</v>
      </c>
      <c r="E51" s="31">
        <v>90614</v>
      </c>
      <c r="F51" s="29"/>
      <c r="G51" s="32">
        <v>45132</v>
      </c>
      <c r="H51" s="29"/>
      <c r="I51" s="5" t="s">
        <v>69</v>
      </c>
      <c r="J51" s="5" t="s">
        <v>74</v>
      </c>
      <c r="K51" s="5"/>
    </row>
    <row r="52" spans="1:11" ht="18.75" customHeight="1" x14ac:dyDescent="0.3">
      <c r="A52" s="30">
        <v>70</v>
      </c>
      <c r="B52" s="29"/>
      <c r="C52" s="5" t="s">
        <v>40</v>
      </c>
      <c r="D52" s="7">
        <v>240</v>
      </c>
      <c r="E52" s="31">
        <v>90644</v>
      </c>
      <c r="F52" s="29"/>
      <c r="G52" s="32">
        <v>45133</v>
      </c>
      <c r="H52" s="29"/>
      <c r="I52" s="5" t="s">
        <v>69</v>
      </c>
      <c r="J52" s="5"/>
      <c r="K52" s="5"/>
    </row>
    <row r="53" spans="1:11" ht="18.75" customHeight="1" x14ac:dyDescent="0.3">
      <c r="A53" s="30">
        <v>71</v>
      </c>
      <c r="B53" s="29"/>
      <c r="C53" s="5" t="s">
        <v>40</v>
      </c>
      <c r="D53" s="7">
        <v>300</v>
      </c>
      <c r="E53" s="31">
        <v>81139</v>
      </c>
      <c r="F53" s="29"/>
      <c r="G53" s="32">
        <v>45134</v>
      </c>
      <c r="H53" s="29"/>
      <c r="I53" s="5" t="s">
        <v>69</v>
      </c>
      <c r="J53" s="5" t="s">
        <v>71</v>
      </c>
      <c r="K53" s="5"/>
    </row>
    <row r="54" spans="1:11" ht="18.75" customHeight="1" x14ac:dyDescent="0.3">
      <c r="A54" s="30">
        <v>72</v>
      </c>
      <c r="B54" s="29"/>
      <c r="C54" s="5" t="s">
        <v>40</v>
      </c>
      <c r="D54" s="7">
        <v>264</v>
      </c>
      <c r="E54" s="31">
        <v>90652</v>
      </c>
      <c r="F54" s="29"/>
      <c r="G54" s="32">
        <v>45134</v>
      </c>
      <c r="H54" s="29"/>
      <c r="I54" s="5" t="s">
        <v>69</v>
      </c>
      <c r="J54" s="5" t="s">
        <v>74</v>
      </c>
      <c r="K54" s="5"/>
    </row>
    <row r="55" spans="1:11" ht="18.75" customHeight="1" x14ac:dyDescent="0.3">
      <c r="A55" s="30">
        <v>73</v>
      </c>
      <c r="B55" s="29"/>
      <c r="C55" s="5" t="s">
        <v>40</v>
      </c>
      <c r="D55" s="7">
        <v>257</v>
      </c>
      <c r="E55" s="31">
        <v>90668</v>
      </c>
      <c r="F55" s="29"/>
      <c r="G55" s="32">
        <v>45134</v>
      </c>
      <c r="H55" s="29"/>
      <c r="I55" s="5" t="s">
        <v>69</v>
      </c>
      <c r="J55" s="5" t="s">
        <v>71</v>
      </c>
      <c r="K55" s="5"/>
    </row>
    <row r="56" spans="1:11" ht="18.75" customHeight="1" x14ac:dyDescent="0.3">
      <c r="A56" s="30">
        <v>74</v>
      </c>
      <c r="B56" s="29"/>
      <c r="C56" s="5" t="s">
        <v>40</v>
      </c>
      <c r="D56" s="7">
        <v>346</v>
      </c>
      <c r="E56" s="31">
        <v>90673</v>
      </c>
      <c r="F56" s="29"/>
      <c r="G56" s="32">
        <v>45134</v>
      </c>
      <c r="H56" s="29"/>
      <c r="I56" s="5" t="s">
        <v>69</v>
      </c>
      <c r="J56" s="5" t="s">
        <v>74</v>
      </c>
      <c r="K56" s="5"/>
    </row>
    <row r="57" spans="1:11" ht="18.75" customHeight="1" x14ac:dyDescent="0.3">
      <c r="A57" s="30">
        <v>75</v>
      </c>
      <c r="B57" s="29"/>
      <c r="C57" s="5" t="s">
        <v>40</v>
      </c>
      <c r="D57" s="7">
        <v>252</v>
      </c>
      <c r="E57" s="31">
        <v>90697</v>
      </c>
      <c r="F57" s="29"/>
      <c r="G57" s="32">
        <v>45135</v>
      </c>
      <c r="H57" s="29"/>
      <c r="I57" s="5" t="s">
        <v>69</v>
      </c>
      <c r="J57" s="5" t="s">
        <v>74</v>
      </c>
      <c r="K57" s="5"/>
    </row>
    <row r="58" spans="1:11" ht="18.75" customHeight="1" x14ac:dyDescent="0.3">
      <c r="A58" s="30">
        <v>76</v>
      </c>
      <c r="B58" s="29"/>
      <c r="C58" s="5" t="s">
        <v>40</v>
      </c>
      <c r="D58" s="7">
        <v>268</v>
      </c>
      <c r="E58" s="31">
        <v>90717</v>
      </c>
      <c r="F58" s="29"/>
      <c r="G58" s="32">
        <v>45136</v>
      </c>
      <c r="H58" s="29"/>
      <c r="I58" s="5" t="s">
        <v>69</v>
      </c>
      <c r="J58" s="5" t="s">
        <v>74</v>
      </c>
      <c r="K58" s="5"/>
    </row>
    <row r="59" spans="1:11" ht="18.75" customHeight="1" x14ac:dyDescent="0.3">
      <c r="A59" s="30">
        <v>77</v>
      </c>
      <c r="B59" s="29"/>
      <c r="C59" s="5" t="s">
        <v>14</v>
      </c>
      <c r="D59" s="7">
        <v>146</v>
      </c>
      <c r="E59" s="31">
        <v>89106</v>
      </c>
      <c r="F59" s="29"/>
      <c r="G59" s="32">
        <v>45130</v>
      </c>
      <c r="H59" s="29"/>
      <c r="I59" s="5" t="s">
        <v>69</v>
      </c>
      <c r="J59" s="5"/>
      <c r="K59" s="5"/>
    </row>
    <row r="60" spans="1:11" ht="18.75" customHeight="1" x14ac:dyDescent="0.3">
      <c r="A60" s="30">
        <v>78</v>
      </c>
      <c r="B60" s="29"/>
      <c r="C60" s="5" t="s">
        <v>14</v>
      </c>
      <c r="D60" s="7">
        <v>165</v>
      </c>
      <c r="E60" s="31">
        <v>15939</v>
      </c>
      <c r="F60" s="29"/>
      <c r="G60" s="32">
        <v>45131</v>
      </c>
      <c r="H60" s="29"/>
      <c r="I60" s="5" t="s">
        <v>69</v>
      </c>
      <c r="J60" s="5"/>
      <c r="K60" s="5"/>
    </row>
    <row r="61" spans="1:11" ht="18.75" customHeight="1" x14ac:dyDescent="0.3">
      <c r="A61" s="30">
        <v>79</v>
      </c>
      <c r="B61" s="29"/>
      <c r="C61" s="5" t="s">
        <v>14</v>
      </c>
      <c r="D61" s="7">
        <v>145</v>
      </c>
      <c r="E61" s="31">
        <v>15927</v>
      </c>
      <c r="F61" s="29"/>
      <c r="G61" s="32">
        <v>45132</v>
      </c>
      <c r="H61" s="29"/>
      <c r="I61" s="5" t="s">
        <v>69</v>
      </c>
      <c r="J61" s="5"/>
      <c r="K61" s="5"/>
    </row>
    <row r="62" spans="1:11" ht="18.75" customHeight="1" x14ac:dyDescent="0.3">
      <c r="A62" s="30">
        <v>80</v>
      </c>
      <c r="B62" s="29"/>
      <c r="C62" s="5" t="s">
        <v>14</v>
      </c>
      <c r="D62" s="7">
        <v>208</v>
      </c>
      <c r="E62" s="31">
        <v>15946</v>
      </c>
      <c r="F62" s="29"/>
      <c r="G62" s="32">
        <v>45133</v>
      </c>
      <c r="H62" s="29"/>
      <c r="I62" s="5" t="s">
        <v>69</v>
      </c>
      <c r="J62" s="5"/>
      <c r="K62" s="5"/>
    </row>
    <row r="63" spans="1:11" ht="18.75" customHeight="1" x14ac:dyDescent="0.3">
      <c r="A63" s="30">
        <v>81</v>
      </c>
      <c r="B63" s="29"/>
      <c r="C63" s="5" t="s">
        <v>14</v>
      </c>
      <c r="D63" s="7">
        <v>216</v>
      </c>
      <c r="E63" s="31">
        <v>15075</v>
      </c>
      <c r="F63" s="29"/>
      <c r="G63" s="32">
        <v>45136</v>
      </c>
      <c r="H63" s="29"/>
      <c r="I63" s="5" t="s">
        <v>69</v>
      </c>
      <c r="J63" s="5"/>
      <c r="K63" s="5"/>
    </row>
    <row r="64" spans="1:11" ht="18.75" customHeight="1" x14ac:dyDescent="0.3">
      <c r="A64" s="30">
        <v>82</v>
      </c>
      <c r="B64" s="29"/>
      <c r="C64" s="5" t="s">
        <v>14</v>
      </c>
      <c r="D64" s="7">
        <v>170</v>
      </c>
      <c r="E64" s="31">
        <v>15079</v>
      </c>
      <c r="F64" s="29"/>
      <c r="G64" s="32">
        <v>45135</v>
      </c>
      <c r="H64" s="29"/>
      <c r="I64" s="5" t="s">
        <v>69</v>
      </c>
      <c r="J64" s="5"/>
      <c r="K64" s="5"/>
    </row>
    <row r="65" spans="1:11" ht="18.75" customHeight="1" x14ac:dyDescent="0.3">
      <c r="A65" s="30">
        <v>83</v>
      </c>
      <c r="B65" s="29"/>
      <c r="C65" s="5" t="s">
        <v>40</v>
      </c>
      <c r="D65" s="7">
        <v>250</v>
      </c>
      <c r="E65" s="31">
        <v>90759</v>
      </c>
      <c r="F65" s="29"/>
      <c r="G65" s="32">
        <v>45139</v>
      </c>
      <c r="H65" s="29"/>
      <c r="I65" s="5" t="s">
        <v>69</v>
      </c>
      <c r="J65" s="5"/>
      <c r="K65" s="5"/>
    </row>
    <row r="66" spans="1:11" ht="18.75" customHeight="1" x14ac:dyDescent="0.3">
      <c r="A66" s="30">
        <v>84</v>
      </c>
      <c r="B66" s="29"/>
      <c r="C66" s="5" t="s">
        <v>40</v>
      </c>
      <c r="D66" s="7">
        <v>259</v>
      </c>
      <c r="E66" s="31">
        <v>90776</v>
      </c>
      <c r="F66" s="29"/>
      <c r="G66" s="32">
        <v>45140</v>
      </c>
      <c r="H66" s="29"/>
      <c r="I66" s="5" t="s">
        <v>69</v>
      </c>
      <c r="J66" s="5"/>
      <c r="K66" s="5"/>
    </row>
    <row r="67" spans="1:11" ht="18.75" customHeight="1" x14ac:dyDescent="0.3">
      <c r="A67" s="30">
        <v>85</v>
      </c>
      <c r="B67" s="29"/>
      <c r="C67" s="5" t="s">
        <v>40</v>
      </c>
      <c r="D67" s="7">
        <v>245</v>
      </c>
      <c r="E67" s="31">
        <v>90784</v>
      </c>
      <c r="F67" s="29"/>
      <c r="G67" s="32">
        <v>45140</v>
      </c>
      <c r="H67" s="29"/>
      <c r="I67" s="5" t="s">
        <v>69</v>
      </c>
      <c r="J67" s="5"/>
      <c r="K67" s="5"/>
    </row>
    <row r="68" spans="1:11" ht="18.75" customHeight="1" x14ac:dyDescent="0.3">
      <c r="A68" s="30">
        <v>86</v>
      </c>
      <c r="B68" s="29"/>
      <c r="C68" s="5" t="s">
        <v>40</v>
      </c>
      <c r="D68" s="7">
        <v>236</v>
      </c>
      <c r="E68" s="31">
        <v>90827</v>
      </c>
      <c r="F68" s="29"/>
      <c r="G68" s="32">
        <v>45142</v>
      </c>
      <c r="H68" s="29"/>
      <c r="I68" s="5" t="s">
        <v>69</v>
      </c>
      <c r="J68" s="5"/>
      <c r="K68" s="5"/>
    </row>
    <row r="69" spans="1:11" ht="18.75" customHeight="1" x14ac:dyDescent="0.3">
      <c r="A69" s="30">
        <v>87</v>
      </c>
      <c r="B69" s="29"/>
      <c r="C69" s="5" t="s">
        <v>40</v>
      </c>
      <c r="D69" s="7">
        <v>319</v>
      </c>
      <c r="E69" s="31">
        <v>90812</v>
      </c>
      <c r="F69" s="29"/>
      <c r="G69" s="32">
        <v>45142</v>
      </c>
      <c r="H69" s="29"/>
      <c r="I69" s="5" t="s">
        <v>69</v>
      </c>
      <c r="J69" s="5"/>
      <c r="K69" s="5"/>
    </row>
    <row r="70" spans="1:11" ht="18.75" customHeight="1" x14ac:dyDescent="0.3">
      <c r="A70" s="30">
        <v>88</v>
      </c>
      <c r="B70" s="29"/>
      <c r="C70" s="5" t="s">
        <v>14</v>
      </c>
      <c r="D70" s="7">
        <v>225</v>
      </c>
      <c r="E70" s="31">
        <v>15661</v>
      </c>
      <c r="F70" s="29"/>
      <c r="G70" s="32">
        <v>45139</v>
      </c>
      <c r="H70" s="29"/>
      <c r="I70" s="5" t="s">
        <v>69</v>
      </c>
      <c r="J70" s="5"/>
      <c r="K70" s="5"/>
    </row>
    <row r="71" spans="1:11" ht="18.75" customHeight="1" x14ac:dyDescent="0.3">
      <c r="A71" s="30">
        <v>89</v>
      </c>
      <c r="B71" s="29"/>
      <c r="C71" s="5" t="s">
        <v>14</v>
      </c>
      <c r="D71" s="7">
        <v>235</v>
      </c>
      <c r="E71" s="31">
        <v>15665</v>
      </c>
      <c r="F71" s="29"/>
      <c r="G71" s="32">
        <v>45140</v>
      </c>
      <c r="H71" s="29"/>
      <c r="I71" s="5" t="s">
        <v>69</v>
      </c>
      <c r="J71" s="5"/>
      <c r="K71" s="5"/>
    </row>
    <row r="72" spans="1:11" ht="18.75" customHeight="1" x14ac:dyDescent="0.3">
      <c r="A72" s="30">
        <v>90</v>
      </c>
      <c r="B72" s="29"/>
      <c r="C72" s="5" t="s">
        <v>14</v>
      </c>
      <c r="D72" s="7">
        <v>169</v>
      </c>
      <c r="E72" s="31">
        <v>15669</v>
      </c>
      <c r="F72" s="29"/>
      <c r="G72" s="32">
        <v>45141</v>
      </c>
      <c r="H72" s="29"/>
      <c r="I72" s="5" t="s">
        <v>69</v>
      </c>
      <c r="J72" s="5"/>
      <c r="K72" s="5"/>
    </row>
    <row r="73" spans="1:11" ht="18.75" customHeight="1" x14ac:dyDescent="0.3">
      <c r="A73" s="30">
        <v>91</v>
      </c>
      <c r="B73" s="29"/>
      <c r="C73" s="5" t="s">
        <v>14</v>
      </c>
      <c r="D73" s="7">
        <v>224</v>
      </c>
      <c r="E73" s="31">
        <v>15679</v>
      </c>
      <c r="F73" s="29"/>
      <c r="G73" s="32">
        <v>45142</v>
      </c>
      <c r="H73" s="29"/>
      <c r="I73" s="5" t="s">
        <v>69</v>
      </c>
      <c r="J73" s="5"/>
      <c r="K73" s="5"/>
    </row>
    <row r="74" spans="1:11" ht="18.75" customHeight="1" x14ac:dyDescent="0.3">
      <c r="A74" s="30">
        <v>92</v>
      </c>
      <c r="B74" s="29"/>
      <c r="C74" s="5" t="s">
        <v>14</v>
      </c>
      <c r="D74" s="7">
        <v>229</v>
      </c>
      <c r="E74" s="31">
        <v>15685</v>
      </c>
      <c r="F74" s="29"/>
      <c r="G74" s="32">
        <v>45143</v>
      </c>
      <c r="H74" s="29"/>
      <c r="I74" s="5" t="s">
        <v>69</v>
      </c>
      <c r="J74" s="5"/>
      <c r="K74" s="5"/>
    </row>
    <row r="75" spans="1:11" ht="18.75" customHeight="1" x14ac:dyDescent="0.3">
      <c r="A75" s="30">
        <v>93</v>
      </c>
      <c r="B75" s="29"/>
      <c r="C75" s="5" t="s">
        <v>40</v>
      </c>
      <c r="D75" s="7">
        <v>267</v>
      </c>
      <c r="E75" s="31">
        <v>90998</v>
      </c>
      <c r="F75" s="29"/>
      <c r="G75" s="32">
        <v>45149</v>
      </c>
      <c r="H75" s="29"/>
      <c r="I75" s="5" t="s">
        <v>69</v>
      </c>
      <c r="J75" s="5"/>
      <c r="K75" s="5"/>
    </row>
    <row r="76" spans="1:11" ht="18.75" customHeight="1" x14ac:dyDescent="0.3">
      <c r="A76" s="30">
        <v>94</v>
      </c>
      <c r="B76" s="29"/>
      <c r="C76" s="5" t="s">
        <v>14</v>
      </c>
      <c r="D76" s="7">
        <v>219</v>
      </c>
      <c r="E76" s="31">
        <v>15552</v>
      </c>
      <c r="F76" s="29"/>
      <c r="G76" s="32">
        <v>45145</v>
      </c>
      <c r="H76" s="29"/>
      <c r="I76" s="5" t="s">
        <v>69</v>
      </c>
      <c r="J76" s="5"/>
      <c r="K76" s="5"/>
    </row>
    <row r="77" spans="1:11" ht="18.75" customHeight="1" x14ac:dyDescent="0.3">
      <c r="A77" s="30">
        <v>95</v>
      </c>
      <c r="B77" s="29"/>
      <c r="C77" s="5" t="s">
        <v>14</v>
      </c>
      <c r="D77" s="7">
        <v>98</v>
      </c>
      <c r="E77" s="31">
        <v>88128</v>
      </c>
      <c r="F77" s="29"/>
      <c r="G77" s="32">
        <v>45146</v>
      </c>
      <c r="H77" s="29"/>
      <c r="I77" s="5" t="s">
        <v>69</v>
      </c>
      <c r="J77" s="5"/>
      <c r="K77" s="5"/>
    </row>
    <row r="78" spans="1:11" ht="18.75" customHeight="1" x14ac:dyDescent="0.3">
      <c r="A78" s="30">
        <v>96</v>
      </c>
      <c r="B78" s="29"/>
      <c r="C78" s="5" t="s">
        <v>14</v>
      </c>
      <c r="D78" s="7">
        <v>183</v>
      </c>
      <c r="E78" s="31">
        <v>15560</v>
      </c>
      <c r="F78" s="29"/>
      <c r="G78" s="32">
        <v>45147</v>
      </c>
      <c r="H78" s="29"/>
      <c r="I78" s="5" t="s">
        <v>69</v>
      </c>
      <c r="J78" s="5"/>
      <c r="K78" s="5"/>
    </row>
    <row r="79" spans="1:11" ht="18.75" customHeight="1" x14ac:dyDescent="0.3">
      <c r="A79" s="30">
        <v>97</v>
      </c>
      <c r="B79" s="29"/>
      <c r="C79" s="5" t="s">
        <v>14</v>
      </c>
      <c r="D79" s="7">
        <v>104</v>
      </c>
      <c r="E79" s="31">
        <v>15571</v>
      </c>
      <c r="F79" s="29"/>
      <c r="G79" s="32">
        <v>45148</v>
      </c>
      <c r="H79" s="29"/>
      <c r="I79" s="5" t="s">
        <v>69</v>
      </c>
      <c r="J79" s="5"/>
      <c r="K79" s="5"/>
    </row>
    <row r="80" spans="1:11" ht="18.75" customHeight="1" x14ac:dyDescent="0.3">
      <c r="A80" s="30">
        <v>98</v>
      </c>
      <c r="B80" s="29"/>
      <c r="C80" s="5" t="s">
        <v>14</v>
      </c>
      <c r="D80" s="7">
        <v>238</v>
      </c>
      <c r="E80" s="31">
        <v>15578</v>
      </c>
      <c r="F80" s="29"/>
      <c r="G80" s="32">
        <v>45149</v>
      </c>
      <c r="H80" s="29"/>
      <c r="I80" s="5" t="s">
        <v>69</v>
      </c>
      <c r="J80" s="5"/>
      <c r="K80" s="5"/>
    </row>
    <row r="81" spans="1:11" ht="18.75" customHeight="1" x14ac:dyDescent="0.3">
      <c r="A81" s="30">
        <v>99</v>
      </c>
      <c r="B81" s="29"/>
      <c r="C81" s="5" t="s">
        <v>14</v>
      </c>
      <c r="D81" s="7">
        <v>162</v>
      </c>
      <c r="E81" s="31">
        <v>15587</v>
      </c>
      <c r="F81" s="29"/>
      <c r="G81" s="32">
        <v>45150</v>
      </c>
      <c r="H81" s="29"/>
      <c r="I81" s="5" t="s">
        <v>69</v>
      </c>
      <c r="J81" s="5"/>
      <c r="K81" s="5"/>
    </row>
    <row r="82" spans="1:11" ht="18.75" customHeight="1" x14ac:dyDescent="0.3">
      <c r="A82" s="30">
        <v>100</v>
      </c>
      <c r="B82" s="29"/>
      <c r="C82" s="5" t="s">
        <v>40</v>
      </c>
      <c r="D82" s="7">
        <v>262</v>
      </c>
      <c r="E82" s="31">
        <v>90942</v>
      </c>
      <c r="F82" s="29"/>
      <c r="G82" s="32">
        <v>45152</v>
      </c>
      <c r="H82" s="29"/>
      <c r="I82" s="5" t="s">
        <v>69</v>
      </c>
      <c r="J82" s="5"/>
      <c r="K82" s="5"/>
    </row>
    <row r="83" spans="1:11" ht="18.75" customHeight="1" x14ac:dyDescent="0.3">
      <c r="A83" s="30">
        <v>101</v>
      </c>
      <c r="B83" s="29"/>
      <c r="C83" s="5" t="s">
        <v>14</v>
      </c>
      <c r="D83" s="7">
        <v>211</v>
      </c>
      <c r="E83" s="31">
        <v>15209</v>
      </c>
      <c r="F83" s="29"/>
      <c r="G83" s="32">
        <v>45152</v>
      </c>
      <c r="H83" s="29"/>
      <c r="I83" s="5" t="s">
        <v>69</v>
      </c>
      <c r="J83" s="5"/>
      <c r="K83" s="5"/>
    </row>
    <row r="84" spans="1:11" ht="18.75" customHeight="1" x14ac:dyDescent="0.3">
      <c r="A84" s="30">
        <v>102</v>
      </c>
      <c r="B84" s="29"/>
      <c r="C84" s="5" t="s">
        <v>14</v>
      </c>
      <c r="D84" s="7">
        <v>203</v>
      </c>
      <c r="E84" s="31">
        <v>15599</v>
      </c>
      <c r="F84" s="29"/>
      <c r="G84" s="32">
        <v>45153</v>
      </c>
      <c r="H84" s="29"/>
      <c r="I84" s="5" t="s">
        <v>69</v>
      </c>
      <c r="J84" s="5"/>
      <c r="K84" s="5"/>
    </row>
    <row r="85" spans="1:11" ht="18.75" customHeight="1" x14ac:dyDescent="0.3">
      <c r="A85" s="30">
        <v>103</v>
      </c>
      <c r="B85" s="29"/>
      <c r="C85" s="5" t="s">
        <v>14</v>
      </c>
      <c r="D85" s="7">
        <v>184</v>
      </c>
      <c r="E85" s="31">
        <v>15215</v>
      </c>
      <c r="F85" s="29"/>
      <c r="G85" s="32">
        <v>45154</v>
      </c>
      <c r="H85" s="29"/>
      <c r="I85" s="5" t="s">
        <v>69</v>
      </c>
      <c r="J85" s="5"/>
      <c r="K85" s="5"/>
    </row>
    <row r="86" spans="1:11" ht="18.75" customHeight="1" x14ac:dyDescent="0.3">
      <c r="A86" s="30">
        <v>104</v>
      </c>
      <c r="B86" s="29"/>
      <c r="C86" s="5" t="s">
        <v>14</v>
      </c>
      <c r="D86" s="7">
        <v>108</v>
      </c>
      <c r="E86" s="31">
        <v>15227</v>
      </c>
      <c r="F86" s="29"/>
      <c r="G86" s="32">
        <v>45155</v>
      </c>
      <c r="H86" s="29"/>
      <c r="I86" s="5" t="s">
        <v>69</v>
      </c>
      <c r="J86" s="5"/>
      <c r="K86" s="5"/>
    </row>
    <row r="87" spans="1:11" ht="18.75" customHeight="1" x14ac:dyDescent="0.3">
      <c r="A87" s="30">
        <v>105</v>
      </c>
      <c r="B87" s="29"/>
      <c r="C87" s="5" t="s">
        <v>14</v>
      </c>
      <c r="D87" s="7">
        <v>177</v>
      </c>
      <c r="E87" s="31">
        <v>15230</v>
      </c>
      <c r="F87" s="29"/>
      <c r="G87" s="32">
        <v>45156</v>
      </c>
      <c r="H87" s="29"/>
      <c r="I87" s="5" t="s">
        <v>69</v>
      </c>
      <c r="J87" s="5"/>
      <c r="K87" s="5"/>
    </row>
    <row r="88" spans="1:11" ht="18.75" customHeight="1" x14ac:dyDescent="0.3">
      <c r="A88" s="30">
        <v>106</v>
      </c>
      <c r="B88" s="29"/>
      <c r="C88" s="5" t="s">
        <v>14</v>
      </c>
      <c r="D88" s="7">
        <v>174</v>
      </c>
      <c r="E88" s="31">
        <v>15237</v>
      </c>
      <c r="F88" s="29"/>
      <c r="G88" s="32">
        <v>45157</v>
      </c>
      <c r="H88" s="29"/>
      <c r="I88" s="5" t="s">
        <v>69</v>
      </c>
      <c r="J88" s="5"/>
      <c r="K88" s="5"/>
    </row>
    <row r="89" spans="1:11" ht="18.75" customHeight="1" x14ac:dyDescent="0.3">
      <c r="A89" s="30">
        <v>107</v>
      </c>
      <c r="B89" s="29"/>
      <c r="C89" s="5" t="s">
        <v>14</v>
      </c>
      <c r="D89" s="7">
        <v>197</v>
      </c>
      <c r="E89" s="31">
        <v>15258</v>
      </c>
      <c r="F89" s="29"/>
      <c r="G89" s="32">
        <v>45159</v>
      </c>
      <c r="H89" s="29"/>
      <c r="I89" s="5" t="s">
        <v>69</v>
      </c>
      <c r="J89" s="5"/>
      <c r="K89" s="5"/>
    </row>
    <row r="90" spans="1:11" ht="18.75" customHeight="1" x14ac:dyDescent="0.3">
      <c r="A90" s="30">
        <v>108</v>
      </c>
      <c r="B90" s="29"/>
      <c r="C90" s="5" t="s">
        <v>14</v>
      </c>
      <c r="D90" s="7">
        <v>169</v>
      </c>
      <c r="E90" s="31">
        <v>15281</v>
      </c>
      <c r="F90" s="29"/>
      <c r="G90" s="32">
        <v>45160</v>
      </c>
      <c r="H90" s="29"/>
      <c r="I90" s="5" t="s">
        <v>69</v>
      </c>
      <c r="J90" s="5"/>
      <c r="K90" s="5"/>
    </row>
    <row r="91" spans="1:11" ht="18.75" customHeight="1" x14ac:dyDescent="0.3">
      <c r="A91" s="30">
        <v>109</v>
      </c>
      <c r="B91" s="29"/>
      <c r="C91" s="5" t="s">
        <v>14</v>
      </c>
      <c r="D91" s="7">
        <v>242</v>
      </c>
      <c r="E91" s="31">
        <v>15284</v>
      </c>
      <c r="F91" s="29"/>
      <c r="G91" s="32">
        <v>45161</v>
      </c>
      <c r="H91" s="29"/>
      <c r="I91" s="5" t="s">
        <v>69</v>
      </c>
      <c r="J91" s="5"/>
      <c r="K91" s="5"/>
    </row>
    <row r="92" spans="1:11" ht="18.75" customHeight="1" x14ac:dyDescent="0.3">
      <c r="A92" s="30">
        <v>110</v>
      </c>
      <c r="B92" s="29"/>
      <c r="C92" s="5" t="s">
        <v>14</v>
      </c>
      <c r="D92" s="7">
        <v>144</v>
      </c>
      <c r="E92" s="31">
        <v>15302</v>
      </c>
      <c r="F92" s="29"/>
      <c r="G92" s="32">
        <v>45162</v>
      </c>
      <c r="H92" s="29"/>
      <c r="I92" s="5" t="s">
        <v>69</v>
      </c>
      <c r="J92" s="5"/>
      <c r="K92" s="5"/>
    </row>
    <row r="93" spans="1:11" ht="18.75" customHeight="1" x14ac:dyDescent="0.3">
      <c r="A93" s="30">
        <v>111</v>
      </c>
      <c r="B93" s="29"/>
      <c r="C93" s="5" t="s">
        <v>14</v>
      </c>
      <c r="D93" s="7">
        <v>196</v>
      </c>
      <c r="E93" s="31">
        <v>15310</v>
      </c>
      <c r="F93" s="29"/>
      <c r="G93" s="32">
        <v>45163</v>
      </c>
      <c r="H93" s="29"/>
      <c r="I93" s="5" t="s">
        <v>69</v>
      </c>
      <c r="J93" s="5"/>
      <c r="K93" s="5"/>
    </row>
    <row r="94" spans="1:11" ht="18.75" customHeight="1" x14ac:dyDescent="0.3">
      <c r="A94" s="30">
        <v>112</v>
      </c>
      <c r="B94" s="29"/>
      <c r="C94" s="5" t="s">
        <v>14</v>
      </c>
      <c r="D94" s="7">
        <v>163</v>
      </c>
      <c r="E94" s="31">
        <v>15318</v>
      </c>
      <c r="F94" s="29"/>
      <c r="G94" s="32">
        <v>45164</v>
      </c>
      <c r="H94" s="29"/>
      <c r="I94" s="5" t="s">
        <v>69</v>
      </c>
      <c r="J94" s="5"/>
      <c r="K94" s="5"/>
    </row>
    <row r="95" spans="1:11" ht="18.75" customHeight="1" x14ac:dyDescent="0.3">
      <c r="A95" s="30">
        <v>113</v>
      </c>
      <c r="B95" s="29"/>
      <c r="C95" s="5" t="s">
        <v>14</v>
      </c>
      <c r="D95" s="7">
        <v>150</v>
      </c>
      <c r="E95" s="31">
        <v>15333</v>
      </c>
      <c r="F95" s="29"/>
      <c r="G95" s="32">
        <v>45166</v>
      </c>
      <c r="H95" s="29"/>
      <c r="I95" s="5" t="s">
        <v>69</v>
      </c>
      <c r="J95" s="5"/>
      <c r="K95" s="5"/>
    </row>
    <row r="96" spans="1:11" ht="18.75" customHeight="1" x14ac:dyDescent="0.3">
      <c r="A96" s="30">
        <v>114</v>
      </c>
      <c r="B96" s="29"/>
      <c r="C96" s="5" t="s">
        <v>14</v>
      </c>
      <c r="D96" s="7">
        <v>172</v>
      </c>
      <c r="E96" s="31">
        <v>15342</v>
      </c>
      <c r="F96" s="29"/>
      <c r="G96" s="32">
        <v>45167</v>
      </c>
      <c r="H96" s="29"/>
      <c r="I96" s="5" t="s">
        <v>69</v>
      </c>
      <c r="J96" s="5"/>
      <c r="K96" s="5"/>
    </row>
    <row r="97" spans="1:11" ht="18.75" customHeight="1" x14ac:dyDescent="0.3">
      <c r="A97" s="30">
        <v>115</v>
      </c>
      <c r="B97" s="29"/>
      <c r="C97" s="5" t="s">
        <v>14</v>
      </c>
      <c r="D97" s="7">
        <v>224</v>
      </c>
      <c r="E97" s="31">
        <v>15352</v>
      </c>
      <c r="F97" s="29"/>
      <c r="G97" s="32">
        <v>45168</v>
      </c>
      <c r="H97" s="29"/>
      <c r="I97" s="5" t="s">
        <v>69</v>
      </c>
      <c r="J97" s="5"/>
      <c r="K97" s="5"/>
    </row>
    <row r="98" spans="1:11" ht="18.75" customHeight="1" x14ac:dyDescent="0.3">
      <c r="A98" s="30">
        <v>116</v>
      </c>
      <c r="B98" s="29"/>
      <c r="C98" s="5" t="s">
        <v>14</v>
      </c>
      <c r="D98" s="7">
        <v>176</v>
      </c>
      <c r="E98" s="31">
        <v>15361</v>
      </c>
      <c r="F98" s="29"/>
      <c r="G98" s="32">
        <v>45169</v>
      </c>
      <c r="H98" s="29"/>
      <c r="I98" s="5" t="s">
        <v>69</v>
      </c>
      <c r="J98" s="5"/>
      <c r="K98" s="5"/>
    </row>
    <row r="99" spans="1:11" ht="18.75" customHeight="1" x14ac:dyDescent="0.3">
      <c r="A99" s="30">
        <v>117</v>
      </c>
      <c r="B99" s="29"/>
      <c r="C99" s="5" t="s">
        <v>14</v>
      </c>
      <c r="D99" s="7">
        <v>121</v>
      </c>
      <c r="E99" s="31">
        <v>15372</v>
      </c>
      <c r="F99" s="29"/>
      <c r="G99" s="32">
        <v>45170</v>
      </c>
      <c r="H99" s="29"/>
      <c r="I99" s="5" t="s">
        <v>69</v>
      </c>
      <c r="J99" s="5"/>
      <c r="K99" s="5"/>
    </row>
    <row r="100" spans="1:11" ht="18.75" customHeight="1" x14ac:dyDescent="0.3">
      <c r="A100" s="30">
        <v>118</v>
      </c>
      <c r="B100" s="29"/>
      <c r="C100" s="5" t="s">
        <v>14</v>
      </c>
      <c r="D100" s="7">
        <v>182</v>
      </c>
      <c r="E100" s="31">
        <v>15380</v>
      </c>
      <c r="F100" s="29"/>
      <c r="G100" s="32">
        <v>45171</v>
      </c>
      <c r="H100" s="29"/>
      <c r="I100" s="5" t="s">
        <v>69</v>
      </c>
      <c r="J100" s="5"/>
      <c r="K100" s="5"/>
    </row>
    <row r="101" spans="1:11" ht="18.75" customHeight="1" x14ac:dyDescent="0.3">
      <c r="A101" s="30">
        <v>119</v>
      </c>
      <c r="B101" s="29"/>
      <c r="C101" s="5" t="s">
        <v>14</v>
      </c>
      <c r="D101" s="7">
        <v>194</v>
      </c>
      <c r="E101" s="31">
        <v>15388</v>
      </c>
      <c r="F101" s="29"/>
      <c r="G101" s="32">
        <v>45173</v>
      </c>
      <c r="H101" s="29"/>
      <c r="I101" s="5" t="s">
        <v>69</v>
      </c>
      <c r="J101" s="5"/>
      <c r="K101" s="5"/>
    </row>
    <row r="102" spans="1:11" ht="18.75" customHeight="1" x14ac:dyDescent="0.3">
      <c r="A102" s="30">
        <v>120</v>
      </c>
      <c r="B102" s="29"/>
      <c r="C102" s="5" t="s">
        <v>14</v>
      </c>
      <c r="D102" s="7">
        <v>225</v>
      </c>
      <c r="E102" s="31">
        <v>12654</v>
      </c>
      <c r="F102" s="29"/>
      <c r="G102" s="32">
        <v>45174</v>
      </c>
      <c r="H102" s="29"/>
      <c r="I102" s="5" t="s">
        <v>69</v>
      </c>
      <c r="J102" s="5"/>
      <c r="K102" s="5"/>
    </row>
    <row r="103" spans="1:11" ht="18.75" customHeight="1" x14ac:dyDescent="0.3">
      <c r="A103" s="30">
        <v>121</v>
      </c>
      <c r="B103" s="29"/>
      <c r="C103" s="5" t="s">
        <v>14</v>
      </c>
      <c r="D103" s="7">
        <v>234</v>
      </c>
      <c r="E103" s="31">
        <v>12659</v>
      </c>
      <c r="F103" s="29"/>
      <c r="G103" s="32">
        <v>45175</v>
      </c>
      <c r="H103" s="29"/>
      <c r="I103" s="5" t="s">
        <v>69</v>
      </c>
      <c r="J103" s="5"/>
      <c r="K103" s="5"/>
    </row>
    <row r="104" spans="1:11" ht="18.75" customHeight="1" x14ac:dyDescent="0.3">
      <c r="A104" s="30">
        <v>122</v>
      </c>
      <c r="B104" s="29"/>
      <c r="C104" s="5" t="s">
        <v>14</v>
      </c>
      <c r="D104" s="7">
        <v>141</v>
      </c>
      <c r="E104" s="31">
        <v>12674</v>
      </c>
      <c r="F104" s="29"/>
      <c r="G104" s="32">
        <v>45176</v>
      </c>
      <c r="H104" s="29"/>
      <c r="I104" s="5" t="s">
        <v>69</v>
      </c>
      <c r="J104" s="5"/>
      <c r="K104" s="5"/>
    </row>
    <row r="105" spans="1:11" ht="18.75" customHeight="1" x14ac:dyDescent="0.3">
      <c r="A105" s="30">
        <v>123</v>
      </c>
      <c r="B105" s="29"/>
      <c r="C105" s="5" t="s">
        <v>14</v>
      </c>
      <c r="D105" s="7">
        <v>221</v>
      </c>
      <c r="E105" s="31">
        <v>12681</v>
      </c>
      <c r="F105" s="29"/>
      <c r="G105" s="32">
        <v>45177</v>
      </c>
      <c r="H105" s="29"/>
      <c r="I105" s="5" t="s">
        <v>69</v>
      </c>
      <c r="J105" s="5"/>
      <c r="K105" s="5"/>
    </row>
    <row r="106" spans="1:11" ht="18.75" customHeight="1" x14ac:dyDescent="0.3">
      <c r="A106" s="30">
        <v>124</v>
      </c>
      <c r="B106" s="29"/>
      <c r="C106" s="5" t="s">
        <v>14</v>
      </c>
      <c r="D106" s="7">
        <v>163</v>
      </c>
      <c r="E106" s="31">
        <v>12703</v>
      </c>
      <c r="F106" s="29"/>
      <c r="G106" s="32">
        <v>45178</v>
      </c>
      <c r="H106" s="29"/>
      <c r="I106" s="5" t="s">
        <v>69</v>
      </c>
      <c r="J106" s="5"/>
      <c r="K106" s="5"/>
    </row>
    <row r="107" spans="1:11" ht="18.75" customHeight="1" x14ac:dyDescent="0.3">
      <c r="A107" s="30">
        <v>125</v>
      </c>
      <c r="B107" s="29"/>
      <c r="C107" s="5" t="s">
        <v>40</v>
      </c>
      <c r="D107" s="7">
        <v>468</v>
      </c>
      <c r="E107" s="31">
        <v>82254</v>
      </c>
      <c r="F107" s="29"/>
      <c r="G107" s="32">
        <v>45177</v>
      </c>
      <c r="H107" s="29"/>
      <c r="I107" s="5" t="s">
        <v>15</v>
      </c>
      <c r="J107" s="5"/>
      <c r="K107" s="5"/>
    </row>
    <row r="108" spans="1:11" ht="18.75" customHeight="1" x14ac:dyDescent="0.3">
      <c r="A108" s="30">
        <v>126</v>
      </c>
      <c r="B108" s="29"/>
      <c r="C108" s="5" t="s">
        <v>14</v>
      </c>
      <c r="D108" s="7">
        <v>159</v>
      </c>
      <c r="E108" s="31">
        <v>12718</v>
      </c>
      <c r="F108" s="29"/>
      <c r="G108" s="32">
        <v>45179</v>
      </c>
      <c r="H108" s="29"/>
      <c r="I108" s="5" t="s">
        <v>69</v>
      </c>
      <c r="J108" s="5"/>
      <c r="K108" s="5"/>
    </row>
    <row r="109" spans="1:11" ht="18.75" customHeight="1" x14ac:dyDescent="0.3">
      <c r="A109" s="30">
        <v>127</v>
      </c>
      <c r="B109" s="29"/>
      <c r="C109" s="5" t="s">
        <v>14</v>
      </c>
      <c r="D109" s="7">
        <v>227</v>
      </c>
      <c r="E109" s="31">
        <v>12722</v>
      </c>
      <c r="F109" s="29"/>
      <c r="G109" s="32">
        <v>45180</v>
      </c>
      <c r="H109" s="29"/>
      <c r="I109" s="5" t="s">
        <v>69</v>
      </c>
      <c r="J109" s="5"/>
      <c r="K109" s="5"/>
    </row>
    <row r="110" spans="1:11" ht="18.75" customHeight="1" x14ac:dyDescent="0.3">
      <c r="A110" s="30">
        <v>128</v>
      </c>
      <c r="B110" s="29"/>
      <c r="C110" s="5" t="s">
        <v>14</v>
      </c>
      <c r="D110" s="7">
        <v>142</v>
      </c>
      <c r="E110" s="31">
        <v>12730</v>
      </c>
      <c r="F110" s="29"/>
      <c r="G110" s="32">
        <v>45181</v>
      </c>
      <c r="H110" s="29"/>
      <c r="I110" s="5" t="s">
        <v>69</v>
      </c>
      <c r="J110" s="5"/>
      <c r="K110" s="5"/>
    </row>
    <row r="111" spans="1:11" ht="18.75" customHeight="1" x14ac:dyDescent="0.3">
      <c r="A111" s="30">
        <v>129</v>
      </c>
      <c r="B111" s="29"/>
      <c r="C111" s="5" t="s">
        <v>14</v>
      </c>
      <c r="D111" s="7">
        <v>237</v>
      </c>
      <c r="E111" s="31">
        <v>12738</v>
      </c>
      <c r="F111" s="29"/>
      <c r="G111" s="32">
        <v>45182</v>
      </c>
      <c r="H111" s="29"/>
      <c r="I111" s="5" t="s">
        <v>69</v>
      </c>
      <c r="J111" s="5"/>
      <c r="K111" s="5"/>
    </row>
    <row r="112" spans="1:11" ht="18.75" customHeight="1" x14ac:dyDescent="0.3">
      <c r="A112" s="30">
        <v>130</v>
      </c>
      <c r="B112" s="29"/>
      <c r="C112" s="5" t="s">
        <v>14</v>
      </c>
      <c r="D112" s="7">
        <v>126</v>
      </c>
      <c r="E112" s="31">
        <v>12744</v>
      </c>
      <c r="F112" s="29"/>
      <c r="G112" s="32">
        <v>45183</v>
      </c>
      <c r="H112" s="29"/>
      <c r="I112" s="5" t="s">
        <v>69</v>
      </c>
      <c r="J112" s="5"/>
      <c r="K112" s="5"/>
    </row>
    <row r="113" spans="1:11" ht="18.75" customHeight="1" x14ac:dyDescent="0.3">
      <c r="A113" s="30">
        <v>131</v>
      </c>
      <c r="B113" s="29"/>
      <c r="C113" s="5" t="s">
        <v>14</v>
      </c>
      <c r="D113" s="7">
        <v>178</v>
      </c>
      <c r="E113" s="31">
        <v>12757</v>
      </c>
      <c r="F113" s="29"/>
      <c r="G113" s="32">
        <v>45184</v>
      </c>
      <c r="H113" s="29"/>
      <c r="I113" s="5" t="s">
        <v>69</v>
      </c>
      <c r="J113" s="5"/>
      <c r="K113" s="5"/>
    </row>
    <row r="114" spans="1:11" ht="18.75" customHeight="1" x14ac:dyDescent="0.3">
      <c r="A114" s="30">
        <v>132</v>
      </c>
      <c r="B114" s="29"/>
      <c r="C114" s="5" t="s">
        <v>14</v>
      </c>
      <c r="D114" s="7">
        <v>161</v>
      </c>
      <c r="E114" s="31">
        <v>12760</v>
      </c>
      <c r="F114" s="29"/>
      <c r="G114" s="32">
        <v>45185</v>
      </c>
      <c r="H114" s="29"/>
      <c r="I114" s="5" t="s">
        <v>69</v>
      </c>
      <c r="J114" s="5"/>
      <c r="K114" s="5"/>
    </row>
    <row r="115" spans="1:11" ht="18.75" customHeight="1" x14ac:dyDescent="0.3">
      <c r="A115" s="53">
        <v>133</v>
      </c>
      <c r="B115" s="29"/>
      <c r="C115" s="5"/>
      <c r="D115" s="8"/>
      <c r="E115" s="28"/>
      <c r="F115" s="29"/>
      <c r="G115" s="32"/>
      <c r="H115" s="29"/>
      <c r="I115" s="5"/>
      <c r="J115" s="5"/>
      <c r="K115" s="5"/>
    </row>
    <row r="116" spans="1:11" ht="18.75" customHeight="1" x14ac:dyDescent="0.3">
      <c r="A116" s="30">
        <v>134</v>
      </c>
      <c r="B116" s="29"/>
      <c r="C116" s="5" t="s">
        <v>40</v>
      </c>
      <c r="D116" s="7">
        <v>465</v>
      </c>
      <c r="E116" s="31">
        <v>82255</v>
      </c>
      <c r="F116" s="29"/>
      <c r="G116" s="32">
        <v>45187</v>
      </c>
      <c r="H116" s="29"/>
      <c r="I116" s="5" t="s">
        <v>15</v>
      </c>
      <c r="J116" s="5"/>
      <c r="K116" s="5"/>
    </row>
    <row r="117" spans="1:11" ht="18.75" customHeight="1" x14ac:dyDescent="0.3">
      <c r="A117" s="53">
        <v>135</v>
      </c>
      <c r="B117" s="29"/>
      <c r="C117" s="5"/>
      <c r="D117" s="8"/>
      <c r="E117" s="28"/>
      <c r="F117" s="29"/>
      <c r="G117" s="32"/>
      <c r="H117" s="29"/>
      <c r="I117" s="5"/>
      <c r="J117" s="5"/>
      <c r="K117" s="5"/>
    </row>
    <row r="118" spans="1:11" ht="18.75" customHeight="1" x14ac:dyDescent="0.3">
      <c r="A118" s="53">
        <v>136</v>
      </c>
      <c r="B118" s="29"/>
      <c r="C118" s="5"/>
      <c r="D118" s="8"/>
      <c r="E118" s="28"/>
      <c r="F118" s="29"/>
      <c r="G118" s="32"/>
      <c r="H118" s="29"/>
      <c r="I118" s="5"/>
      <c r="J118" s="5"/>
      <c r="K118" s="5"/>
    </row>
    <row r="119" spans="1:11" ht="18.75" customHeight="1" x14ac:dyDescent="0.3">
      <c r="A119" s="53">
        <v>137</v>
      </c>
      <c r="B119" s="29"/>
      <c r="C119" s="5"/>
      <c r="D119" s="8"/>
      <c r="E119" s="28"/>
      <c r="F119" s="29"/>
      <c r="G119" s="32"/>
      <c r="H119" s="29"/>
      <c r="I119" s="5"/>
      <c r="J119" s="5"/>
      <c r="K119" s="5"/>
    </row>
    <row r="120" spans="1:11" ht="18.75" customHeight="1" x14ac:dyDescent="0.3">
      <c r="A120" s="53">
        <v>138</v>
      </c>
      <c r="B120" s="29"/>
      <c r="C120" s="5"/>
      <c r="D120" s="8"/>
      <c r="E120" s="28"/>
      <c r="F120" s="29"/>
      <c r="G120" s="32"/>
      <c r="H120" s="29"/>
      <c r="I120" s="5"/>
      <c r="J120" s="5"/>
      <c r="K120" s="5"/>
    </row>
    <row r="121" spans="1:11" ht="18.75" customHeight="1" x14ac:dyDescent="0.3">
      <c r="A121" s="53">
        <v>139</v>
      </c>
      <c r="B121" s="29"/>
      <c r="C121" s="5"/>
      <c r="D121" s="8"/>
      <c r="E121" s="28"/>
      <c r="F121" s="29"/>
      <c r="G121" s="32"/>
      <c r="H121" s="29"/>
      <c r="I121" s="5"/>
      <c r="J121" s="5"/>
      <c r="K121" s="5"/>
    </row>
    <row r="122" spans="1:11" ht="18.75" customHeight="1" x14ac:dyDescent="0.3">
      <c r="A122" s="53">
        <v>140</v>
      </c>
      <c r="B122" s="29"/>
      <c r="C122" s="5"/>
      <c r="D122" s="8"/>
      <c r="E122" s="28"/>
      <c r="F122" s="29"/>
      <c r="G122" s="32"/>
      <c r="H122" s="29"/>
      <c r="I122" s="5"/>
      <c r="J122" s="5"/>
      <c r="K122" s="5"/>
    </row>
    <row r="123" spans="1:11" ht="18.75" customHeight="1" x14ac:dyDescent="0.3">
      <c r="A123" s="53">
        <v>141</v>
      </c>
      <c r="B123" s="29"/>
      <c r="C123" s="5"/>
      <c r="D123" s="8"/>
      <c r="E123" s="28"/>
      <c r="F123" s="29"/>
      <c r="G123" s="32"/>
      <c r="H123" s="29"/>
      <c r="I123" s="5"/>
      <c r="J123" s="5"/>
      <c r="K123" s="5"/>
    </row>
    <row r="124" spans="1:11" ht="18.75" customHeight="1" x14ac:dyDescent="0.3">
      <c r="A124" s="53">
        <v>142</v>
      </c>
      <c r="B124" s="29"/>
      <c r="C124" s="5"/>
      <c r="D124" s="8"/>
      <c r="E124" s="28"/>
      <c r="F124" s="29"/>
      <c r="G124" s="32"/>
      <c r="H124" s="29"/>
      <c r="I124" s="5"/>
      <c r="J124" s="5"/>
      <c r="K124" s="5"/>
    </row>
    <row r="125" spans="1:11" ht="18.75" customHeight="1" x14ac:dyDescent="0.3">
      <c r="A125" s="53">
        <v>143</v>
      </c>
      <c r="B125" s="29"/>
      <c r="C125" s="5"/>
      <c r="D125" s="8"/>
      <c r="E125" s="28"/>
      <c r="F125" s="29"/>
      <c r="G125" s="32"/>
      <c r="H125" s="29"/>
      <c r="I125" s="5"/>
      <c r="J125" s="5"/>
      <c r="K125" s="5"/>
    </row>
    <row r="126" spans="1:11" ht="18.75" customHeight="1" x14ac:dyDescent="0.3">
      <c r="A126" s="53">
        <v>144</v>
      </c>
      <c r="B126" s="29"/>
      <c r="C126" s="5"/>
      <c r="D126" s="8"/>
      <c r="E126" s="28"/>
      <c r="F126" s="29"/>
      <c r="G126" s="32"/>
      <c r="H126" s="29"/>
      <c r="I126" s="5"/>
      <c r="J126" s="5"/>
      <c r="K126" s="5"/>
    </row>
    <row r="127" spans="1:11" ht="18.75" customHeight="1" x14ac:dyDescent="0.3">
      <c r="A127" s="53">
        <v>145</v>
      </c>
      <c r="B127" s="29"/>
      <c r="C127" s="5"/>
      <c r="D127" s="8"/>
      <c r="E127" s="28"/>
      <c r="F127" s="29"/>
      <c r="G127" s="32"/>
      <c r="H127" s="29"/>
      <c r="I127" s="5"/>
      <c r="J127" s="5"/>
      <c r="K127" s="5"/>
    </row>
    <row r="128" spans="1:11" ht="18.75" customHeight="1" x14ac:dyDescent="0.3">
      <c r="A128" s="53">
        <v>146</v>
      </c>
      <c r="B128" s="29"/>
      <c r="C128" s="5"/>
      <c r="D128" s="8"/>
      <c r="E128" s="28"/>
      <c r="F128" s="29"/>
      <c r="G128" s="32"/>
      <c r="H128" s="29"/>
      <c r="I128" s="5"/>
      <c r="J128" s="5"/>
      <c r="K128" s="5"/>
    </row>
    <row r="129" spans="1:11" ht="18.75" customHeight="1" x14ac:dyDescent="0.3">
      <c r="A129" s="30">
        <v>147</v>
      </c>
      <c r="B129" s="29"/>
      <c r="C129" s="5" t="s">
        <v>40</v>
      </c>
      <c r="D129" s="7">
        <v>445</v>
      </c>
      <c r="E129" s="31">
        <v>102007</v>
      </c>
      <c r="F129" s="29"/>
      <c r="G129" s="32">
        <v>45185</v>
      </c>
      <c r="H129" s="29"/>
      <c r="I129" s="5" t="s">
        <v>15</v>
      </c>
      <c r="J129" s="5"/>
      <c r="K129" s="5"/>
    </row>
    <row r="130" spans="1:11" ht="18.75" customHeight="1" x14ac:dyDescent="0.3">
      <c r="A130" s="30">
        <v>148</v>
      </c>
      <c r="B130" s="29"/>
      <c r="C130" s="5" t="s">
        <v>40</v>
      </c>
      <c r="D130" s="7">
        <v>490</v>
      </c>
      <c r="E130" s="31">
        <v>93247</v>
      </c>
      <c r="F130" s="29"/>
      <c r="G130" s="32">
        <v>45187</v>
      </c>
      <c r="H130" s="29"/>
      <c r="I130" s="5" t="s">
        <v>15</v>
      </c>
      <c r="J130" s="5"/>
      <c r="K130" s="5"/>
    </row>
    <row r="131" spans="1:11" ht="18.75" customHeight="1" x14ac:dyDescent="0.3">
      <c r="A131" s="30">
        <v>149</v>
      </c>
      <c r="B131" s="29"/>
      <c r="C131" s="5" t="s">
        <v>40</v>
      </c>
      <c r="D131" s="7">
        <v>360</v>
      </c>
      <c r="E131" s="31">
        <v>93601</v>
      </c>
      <c r="F131" s="29"/>
      <c r="G131" s="32">
        <v>45188</v>
      </c>
      <c r="H131" s="29"/>
      <c r="I131" s="5" t="s">
        <v>15</v>
      </c>
      <c r="J131" s="5"/>
      <c r="K131" s="5"/>
    </row>
    <row r="132" spans="1:11" ht="18.75" customHeight="1" x14ac:dyDescent="0.3">
      <c r="A132" s="30">
        <v>150</v>
      </c>
      <c r="B132" s="29"/>
      <c r="C132" s="5" t="s">
        <v>40</v>
      </c>
      <c r="D132" s="7">
        <v>468</v>
      </c>
      <c r="E132" s="31">
        <v>82258</v>
      </c>
      <c r="F132" s="29"/>
      <c r="G132" s="32">
        <v>45188</v>
      </c>
      <c r="H132" s="29"/>
      <c r="I132" s="5" t="s">
        <v>15</v>
      </c>
      <c r="J132" s="5"/>
      <c r="K132" s="5"/>
    </row>
    <row r="133" spans="1:11" ht="18.75" customHeight="1" x14ac:dyDescent="0.3">
      <c r="A133" s="30">
        <v>151</v>
      </c>
      <c r="B133" s="29"/>
      <c r="C133" s="5" t="s">
        <v>40</v>
      </c>
      <c r="D133" s="7">
        <v>400</v>
      </c>
      <c r="E133" s="31">
        <v>92583</v>
      </c>
      <c r="F133" s="29"/>
      <c r="G133" s="32">
        <v>45189</v>
      </c>
      <c r="H133" s="29"/>
      <c r="I133" s="5" t="s">
        <v>15</v>
      </c>
      <c r="J133" s="5"/>
      <c r="K133" s="5"/>
    </row>
    <row r="134" spans="1:11" ht="18.75" customHeight="1" x14ac:dyDescent="0.3">
      <c r="A134" s="30">
        <v>152</v>
      </c>
      <c r="B134" s="29"/>
      <c r="C134" s="5" t="s">
        <v>40</v>
      </c>
      <c r="D134" s="7">
        <v>383</v>
      </c>
      <c r="E134" s="31">
        <v>92589</v>
      </c>
      <c r="F134" s="29"/>
      <c r="G134" s="32">
        <v>45190</v>
      </c>
      <c r="H134" s="29"/>
      <c r="I134" s="5" t="s">
        <v>15</v>
      </c>
      <c r="J134" s="5"/>
      <c r="K134" s="5"/>
    </row>
    <row r="135" spans="1:11" ht="18.75" customHeight="1" x14ac:dyDescent="0.3">
      <c r="A135" s="30">
        <v>153</v>
      </c>
      <c r="B135" s="29"/>
      <c r="C135" s="5" t="s">
        <v>40</v>
      </c>
      <c r="D135" s="7">
        <v>400</v>
      </c>
      <c r="E135" s="31">
        <v>92593</v>
      </c>
      <c r="F135" s="29"/>
      <c r="G135" s="32">
        <v>45191</v>
      </c>
      <c r="H135" s="29"/>
      <c r="I135" s="5" t="s">
        <v>15</v>
      </c>
      <c r="J135" s="5"/>
      <c r="K135" s="5"/>
    </row>
    <row r="136" spans="1:11" ht="18.75" customHeight="1" x14ac:dyDescent="0.3">
      <c r="A136" s="30">
        <v>154</v>
      </c>
      <c r="B136" s="29"/>
      <c r="C136" s="5" t="s">
        <v>14</v>
      </c>
      <c r="D136" s="7">
        <v>229</v>
      </c>
      <c r="E136" s="31">
        <v>12794</v>
      </c>
      <c r="F136" s="29"/>
      <c r="G136" s="32">
        <v>45187</v>
      </c>
      <c r="H136" s="29"/>
      <c r="I136" s="5" t="s">
        <v>69</v>
      </c>
      <c r="J136" s="5"/>
      <c r="K136" s="5"/>
    </row>
    <row r="137" spans="1:11" ht="18.75" customHeight="1" x14ac:dyDescent="0.3">
      <c r="A137" s="30">
        <v>155</v>
      </c>
      <c r="B137" s="29"/>
      <c r="C137" s="5" t="s">
        <v>14</v>
      </c>
      <c r="D137" s="7">
        <v>200</v>
      </c>
      <c r="E137" s="31">
        <v>12771</v>
      </c>
      <c r="F137" s="29"/>
      <c r="G137" s="32">
        <v>45188</v>
      </c>
      <c r="H137" s="29"/>
      <c r="I137" s="5" t="s">
        <v>69</v>
      </c>
      <c r="J137" s="5"/>
      <c r="K137" s="5"/>
    </row>
    <row r="138" spans="1:11" ht="18.75" customHeight="1" x14ac:dyDescent="0.3">
      <c r="A138" s="30">
        <v>156</v>
      </c>
      <c r="B138" s="29"/>
      <c r="C138" s="5" t="s">
        <v>14</v>
      </c>
      <c r="D138" s="7">
        <v>211</v>
      </c>
      <c r="E138" s="31">
        <v>12780</v>
      </c>
      <c r="F138" s="29"/>
      <c r="G138" s="32">
        <v>45189</v>
      </c>
      <c r="H138" s="29"/>
      <c r="I138" s="5" t="s">
        <v>69</v>
      </c>
      <c r="J138" s="5"/>
      <c r="K138" s="5"/>
    </row>
    <row r="139" spans="1:11" ht="18.75" customHeight="1" x14ac:dyDescent="0.3">
      <c r="A139" s="30">
        <v>157</v>
      </c>
      <c r="B139" s="29"/>
      <c r="C139" s="5" t="s">
        <v>14</v>
      </c>
      <c r="D139" s="7">
        <v>181</v>
      </c>
      <c r="E139" s="31">
        <v>12785</v>
      </c>
      <c r="F139" s="29"/>
      <c r="G139" s="32">
        <v>45191</v>
      </c>
      <c r="H139" s="29"/>
      <c r="I139" s="5" t="s">
        <v>69</v>
      </c>
      <c r="J139" s="5"/>
      <c r="K139" s="5"/>
    </row>
    <row r="140" spans="1:11" ht="18.75" customHeight="1" x14ac:dyDescent="0.3">
      <c r="A140" s="30">
        <v>158</v>
      </c>
      <c r="B140" s="29"/>
      <c r="C140" s="5" t="s">
        <v>14</v>
      </c>
      <c r="D140" s="7">
        <v>141</v>
      </c>
      <c r="E140" s="31">
        <v>12808</v>
      </c>
      <c r="F140" s="29"/>
      <c r="G140" s="32">
        <v>45190</v>
      </c>
      <c r="H140" s="29"/>
      <c r="I140" s="5" t="s">
        <v>69</v>
      </c>
      <c r="J140" s="5"/>
      <c r="K140" s="5"/>
    </row>
    <row r="141" spans="1:11" ht="18.75" customHeight="1" x14ac:dyDescent="0.3">
      <c r="A141" s="30">
        <v>159</v>
      </c>
      <c r="B141" s="29"/>
      <c r="C141" s="5" t="s">
        <v>14</v>
      </c>
      <c r="D141" s="7">
        <v>149</v>
      </c>
      <c r="E141" s="31">
        <v>12817</v>
      </c>
      <c r="F141" s="29"/>
      <c r="G141" s="32">
        <v>45192</v>
      </c>
      <c r="H141" s="29"/>
      <c r="I141" s="5" t="s">
        <v>69</v>
      </c>
      <c r="J141" s="5"/>
      <c r="K141" s="5"/>
    </row>
    <row r="142" spans="1:11" ht="18.75" customHeight="1" x14ac:dyDescent="0.3">
      <c r="A142" s="53">
        <v>160</v>
      </c>
      <c r="B142" s="29"/>
      <c r="C142" s="9" t="s">
        <v>40</v>
      </c>
      <c r="D142" s="10">
        <v>420</v>
      </c>
      <c r="E142" s="50">
        <v>93398</v>
      </c>
      <c r="F142" s="29"/>
      <c r="G142" s="55">
        <v>45195</v>
      </c>
      <c r="H142" s="29"/>
      <c r="I142" s="9" t="s">
        <v>15</v>
      </c>
      <c r="J142" s="5"/>
      <c r="K142" s="5"/>
    </row>
    <row r="143" spans="1:11" ht="18.75" customHeight="1" x14ac:dyDescent="0.3">
      <c r="A143" s="53">
        <v>161</v>
      </c>
      <c r="B143" s="29"/>
      <c r="C143" s="9" t="s">
        <v>40</v>
      </c>
      <c r="D143" s="10">
        <v>390</v>
      </c>
      <c r="E143" s="50">
        <v>93655</v>
      </c>
      <c r="F143" s="29"/>
      <c r="G143" s="55">
        <v>45195</v>
      </c>
      <c r="H143" s="29"/>
      <c r="I143" s="9" t="s">
        <v>15</v>
      </c>
      <c r="J143" s="5"/>
      <c r="K143" s="5"/>
    </row>
    <row r="144" spans="1:11" ht="18.75" customHeight="1" x14ac:dyDescent="0.3">
      <c r="A144" s="53">
        <v>162</v>
      </c>
      <c r="B144" s="29"/>
      <c r="C144" s="9" t="s">
        <v>40</v>
      </c>
      <c r="D144" s="10">
        <v>520</v>
      </c>
      <c r="E144" s="50">
        <v>92611</v>
      </c>
      <c r="F144" s="29"/>
      <c r="G144" s="55">
        <v>45196</v>
      </c>
      <c r="H144" s="29"/>
      <c r="I144" s="9" t="s">
        <v>15</v>
      </c>
      <c r="J144" s="5"/>
      <c r="K144" s="5"/>
    </row>
    <row r="145" spans="1:11" ht="18.75" customHeight="1" x14ac:dyDescent="0.3">
      <c r="A145" s="53">
        <v>163</v>
      </c>
      <c r="B145" s="29"/>
      <c r="C145" s="9" t="s">
        <v>40</v>
      </c>
      <c r="D145" s="10">
        <v>400</v>
      </c>
      <c r="E145" s="50">
        <v>93409</v>
      </c>
      <c r="F145" s="29"/>
      <c r="G145" s="55">
        <v>45197</v>
      </c>
      <c r="H145" s="29"/>
      <c r="I145" s="9" t="s">
        <v>15</v>
      </c>
      <c r="J145" s="5"/>
      <c r="K145" s="5"/>
    </row>
    <row r="146" spans="1:11" ht="18.75" customHeight="1" x14ac:dyDescent="0.3">
      <c r="A146" s="53">
        <v>164</v>
      </c>
      <c r="B146" s="29"/>
      <c r="C146" s="9" t="s">
        <v>40</v>
      </c>
      <c r="D146" s="10">
        <v>383</v>
      </c>
      <c r="E146" s="50">
        <v>93413</v>
      </c>
      <c r="F146" s="29"/>
      <c r="G146" s="55">
        <v>45198</v>
      </c>
      <c r="H146" s="29"/>
      <c r="I146" s="9" t="s">
        <v>15</v>
      </c>
      <c r="J146" s="5"/>
      <c r="K146" s="5"/>
    </row>
    <row r="147" spans="1:11" ht="18.75" customHeight="1" x14ac:dyDescent="0.3">
      <c r="A147" s="53">
        <v>165</v>
      </c>
      <c r="B147" s="29"/>
      <c r="C147" s="9" t="s">
        <v>40</v>
      </c>
      <c r="D147" s="10">
        <v>353</v>
      </c>
      <c r="E147" s="50">
        <v>93419</v>
      </c>
      <c r="F147" s="29"/>
      <c r="G147" s="55">
        <v>45199</v>
      </c>
      <c r="H147" s="29"/>
      <c r="I147" s="9" t="s">
        <v>15</v>
      </c>
      <c r="J147" s="5"/>
      <c r="K147" s="5"/>
    </row>
    <row r="148" spans="1:11" ht="18.75" customHeight="1" x14ac:dyDescent="0.3">
      <c r="A148" s="30">
        <v>166</v>
      </c>
      <c r="B148" s="29"/>
      <c r="C148" s="5" t="s">
        <v>14</v>
      </c>
      <c r="D148" s="7">
        <v>206</v>
      </c>
      <c r="E148" s="31">
        <v>12825</v>
      </c>
      <c r="F148" s="29"/>
      <c r="G148" s="32">
        <v>45194</v>
      </c>
      <c r="H148" s="29"/>
      <c r="I148" s="5" t="s">
        <v>69</v>
      </c>
      <c r="J148" s="5"/>
      <c r="K148" s="5"/>
    </row>
    <row r="149" spans="1:11" ht="18.75" customHeight="1" x14ac:dyDescent="0.3">
      <c r="A149" s="30">
        <v>167</v>
      </c>
      <c r="B149" s="29"/>
      <c r="C149" s="5" t="s">
        <v>14</v>
      </c>
      <c r="D149" s="7">
        <v>247</v>
      </c>
      <c r="E149" s="31">
        <v>12840</v>
      </c>
      <c r="F149" s="29"/>
      <c r="G149" s="32">
        <v>45195</v>
      </c>
      <c r="H149" s="29"/>
      <c r="I149" s="5" t="s">
        <v>69</v>
      </c>
      <c r="J149" s="5"/>
      <c r="K149" s="5"/>
    </row>
    <row r="150" spans="1:11" ht="18.75" customHeight="1" x14ac:dyDescent="0.3">
      <c r="A150" s="30">
        <v>168</v>
      </c>
      <c r="B150" s="29"/>
      <c r="C150" s="5" t="s">
        <v>14</v>
      </c>
      <c r="D150" s="7">
        <v>225</v>
      </c>
      <c r="E150" s="31">
        <v>12850</v>
      </c>
      <c r="F150" s="29"/>
      <c r="G150" s="32">
        <v>45196</v>
      </c>
      <c r="H150" s="29"/>
      <c r="I150" s="5" t="s">
        <v>69</v>
      </c>
      <c r="J150" s="5"/>
      <c r="K150" s="5"/>
    </row>
    <row r="151" spans="1:11" ht="18.75" customHeight="1" x14ac:dyDescent="0.3">
      <c r="A151" s="53">
        <v>169</v>
      </c>
      <c r="B151" s="29"/>
      <c r="C151" s="5"/>
      <c r="D151" s="8"/>
      <c r="E151" s="28"/>
      <c r="F151" s="29"/>
      <c r="G151" s="32"/>
      <c r="H151" s="29"/>
      <c r="I151" s="5"/>
      <c r="J151" s="5"/>
      <c r="K151" s="5"/>
    </row>
    <row r="152" spans="1:11" ht="18.75" customHeight="1" x14ac:dyDescent="0.3">
      <c r="A152" s="53">
        <v>170</v>
      </c>
      <c r="B152" s="29"/>
      <c r="C152" s="5"/>
      <c r="D152" s="8"/>
      <c r="E152" s="28"/>
      <c r="F152" s="29"/>
      <c r="G152" s="32"/>
      <c r="H152" s="29"/>
      <c r="I152" s="5"/>
      <c r="J152" s="5"/>
      <c r="K152" s="5"/>
    </row>
    <row r="153" spans="1:11" ht="18.75" customHeight="1" x14ac:dyDescent="0.3">
      <c r="A153" s="30">
        <v>171</v>
      </c>
      <c r="B153" s="29"/>
      <c r="C153" s="5" t="s">
        <v>14</v>
      </c>
      <c r="D153" s="7">
        <v>149</v>
      </c>
      <c r="E153" s="31">
        <v>15811</v>
      </c>
      <c r="F153" s="29"/>
      <c r="G153" s="32">
        <v>45197</v>
      </c>
      <c r="H153" s="29"/>
      <c r="I153" s="5" t="s">
        <v>69</v>
      </c>
      <c r="J153" s="5"/>
      <c r="K153" s="5"/>
    </row>
    <row r="154" spans="1:11" ht="18.75" customHeight="1" x14ac:dyDescent="0.3">
      <c r="A154" s="30">
        <v>172</v>
      </c>
      <c r="B154" s="29"/>
      <c r="C154" s="5" t="s">
        <v>14</v>
      </c>
      <c r="D154" s="7">
        <v>152</v>
      </c>
      <c r="E154" s="31">
        <v>15816</v>
      </c>
      <c r="F154" s="29"/>
      <c r="G154" s="32">
        <v>45198</v>
      </c>
      <c r="H154" s="29"/>
      <c r="I154" s="5" t="s">
        <v>69</v>
      </c>
      <c r="J154" s="5"/>
      <c r="K154" s="5"/>
    </row>
    <row r="155" spans="1:11" ht="18.75" customHeight="1" x14ac:dyDescent="0.3">
      <c r="A155" s="30">
        <v>173</v>
      </c>
      <c r="B155" s="29"/>
      <c r="C155" s="5" t="s">
        <v>14</v>
      </c>
      <c r="D155" s="7">
        <v>251</v>
      </c>
      <c r="E155" s="31">
        <v>15857</v>
      </c>
      <c r="F155" s="29"/>
      <c r="G155" s="32">
        <v>45199</v>
      </c>
      <c r="H155" s="29"/>
      <c r="I155" s="5" t="s">
        <v>69</v>
      </c>
      <c r="J155" s="5"/>
      <c r="K155" s="5"/>
    </row>
    <row r="156" spans="1:11" ht="18.75" customHeight="1" x14ac:dyDescent="0.3">
      <c r="A156" s="30">
        <v>174</v>
      </c>
      <c r="B156" s="29"/>
      <c r="C156" s="11" t="s">
        <v>40</v>
      </c>
      <c r="D156" s="12">
        <v>353</v>
      </c>
      <c r="E156" s="56">
        <v>93419</v>
      </c>
      <c r="F156" s="29"/>
      <c r="G156" s="32">
        <v>45199</v>
      </c>
      <c r="H156" s="29"/>
      <c r="I156" s="11" t="s">
        <v>15</v>
      </c>
      <c r="J156" s="5"/>
      <c r="K156" s="5"/>
    </row>
    <row r="157" spans="1:11" ht="18.75" customHeight="1" x14ac:dyDescent="0.3">
      <c r="A157" s="30">
        <v>175</v>
      </c>
      <c r="B157" s="29"/>
      <c r="C157" s="11" t="s">
        <v>40</v>
      </c>
      <c r="D157" s="12">
        <v>390</v>
      </c>
      <c r="E157" s="56">
        <v>93655</v>
      </c>
      <c r="F157" s="29"/>
      <c r="G157" s="32">
        <v>45195</v>
      </c>
      <c r="H157" s="29"/>
      <c r="I157" s="11" t="s">
        <v>15</v>
      </c>
      <c r="J157" s="5"/>
      <c r="K157" s="5"/>
    </row>
    <row r="158" spans="1:11" ht="18.75" customHeight="1" x14ac:dyDescent="0.3">
      <c r="A158" s="30">
        <v>176</v>
      </c>
      <c r="B158" s="29"/>
      <c r="C158" s="11" t="s">
        <v>40</v>
      </c>
      <c r="D158" s="12">
        <v>520</v>
      </c>
      <c r="E158" s="56">
        <v>92611</v>
      </c>
      <c r="F158" s="29"/>
      <c r="G158" s="32">
        <v>45196</v>
      </c>
      <c r="H158" s="29"/>
      <c r="I158" s="11" t="s">
        <v>15</v>
      </c>
      <c r="J158" s="5"/>
      <c r="K158" s="5"/>
    </row>
    <row r="159" spans="1:11" ht="18.75" customHeight="1" x14ac:dyDescent="0.3">
      <c r="A159" s="30">
        <v>177</v>
      </c>
      <c r="B159" s="29"/>
      <c r="C159" s="11" t="s">
        <v>40</v>
      </c>
      <c r="D159" s="12">
        <v>400</v>
      </c>
      <c r="E159" s="56">
        <v>93409</v>
      </c>
      <c r="F159" s="29"/>
      <c r="G159" s="32">
        <v>45197</v>
      </c>
      <c r="H159" s="29"/>
      <c r="I159" s="11" t="s">
        <v>15</v>
      </c>
      <c r="J159" s="5"/>
      <c r="K159" s="5"/>
    </row>
    <row r="160" spans="1:11" ht="18.75" customHeight="1" x14ac:dyDescent="0.3">
      <c r="A160" s="30">
        <v>178</v>
      </c>
      <c r="B160" s="29"/>
      <c r="C160" s="11" t="s">
        <v>40</v>
      </c>
      <c r="D160" s="12">
        <v>383</v>
      </c>
      <c r="E160" s="56">
        <v>93413</v>
      </c>
      <c r="F160" s="29"/>
      <c r="G160" s="32">
        <v>45198</v>
      </c>
      <c r="H160" s="29"/>
      <c r="I160" s="11" t="s">
        <v>15</v>
      </c>
      <c r="J160" s="5"/>
      <c r="K160" s="5"/>
    </row>
    <row r="161" spans="1:11" ht="18.75" customHeight="1" x14ac:dyDescent="0.3">
      <c r="A161" s="30">
        <v>179</v>
      </c>
      <c r="B161" s="29"/>
      <c r="C161" s="11" t="s">
        <v>40</v>
      </c>
      <c r="D161" s="12">
        <v>420</v>
      </c>
      <c r="E161" s="56">
        <v>93398</v>
      </c>
      <c r="F161" s="29"/>
      <c r="G161" s="57">
        <v>45195</v>
      </c>
      <c r="H161" s="29"/>
      <c r="I161" s="11" t="s">
        <v>15</v>
      </c>
      <c r="J161" s="5"/>
      <c r="K161" s="5"/>
    </row>
    <row r="162" spans="1:11" ht="18.75" customHeight="1" x14ac:dyDescent="0.3">
      <c r="A162" s="30">
        <v>180</v>
      </c>
      <c r="B162" s="29"/>
      <c r="C162" s="11" t="s">
        <v>40</v>
      </c>
      <c r="D162" s="12">
        <v>440</v>
      </c>
      <c r="E162" s="56">
        <v>93431</v>
      </c>
      <c r="F162" s="29"/>
      <c r="G162" s="57">
        <v>45202</v>
      </c>
      <c r="H162" s="29"/>
      <c r="I162" s="11" t="s">
        <v>15</v>
      </c>
      <c r="J162" s="5"/>
      <c r="K162" s="5"/>
    </row>
    <row r="163" spans="1:11" ht="18.75" customHeight="1" x14ac:dyDescent="0.3">
      <c r="A163" s="30">
        <v>181</v>
      </c>
      <c r="B163" s="29"/>
      <c r="C163" s="11" t="s">
        <v>40</v>
      </c>
      <c r="D163" s="7">
        <v>383</v>
      </c>
      <c r="E163" s="31">
        <v>92633</v>
      </c>
      <c r="F163" s="29"/>
      <c r="G163" s="32">
        <v>45203</v>
      </c>
      <c r="H163" s="29"/>
      <c r="I163" s="5" t="s">
        <v>15</v>
      </c>
      <c r="J163" s="5"/>
      <c r="K163" s="5"/>
    </row>
    <row r="164" spans="1:11" ht="18.75" customHeight="1" x14ac:dyDescent="0.3">
      <c r="A164" s="30">
        <v>182</v>
      </c>
      <c r="B164" s="29"/>
      <c r="C164" s="11" t="s">
        <v>40</v>
      </c>
      <c r="D164" s="7">
        <v>400</v>
      </c>
      <c r="E164" s="31">
        <v>93684</v>
      </c>
      <c r="F164" s="29"/>
      <c r="G164" s="32">
        <v>45204</v>
      </c>
      <c r="H164" s="29"/>
      <c r="I164" s="5" t="s">
        <v>15</v>
      </c>
      <c r="J164" s="5"/>
      <c r="K164" s="5"/>
    </row>
    <row r="165" spans="1:11" ht="18.75" customHeight="1" x14ac:dyDescent="0.3">
      <c r="A165" s="30">
        <v>183</v>
      </c>
      <c r="B165" s="29"/>
      <c r="C165" s="11" t="s">
        <v>40</v>
      </c>
      <c r="D165" s="7">
        <v>304</v>
      </c>
      <c r="E165" s="31">
        <v>92853</v>
      </c>
      <c r="F165" s="29"/>
      <c r="G165" s="32">
        <v>45205</v>
      </c>
      <c r="H165" s="29"/>
      <c r="I165" s="5" t="s">
        <v>15</v>
      </c>
      <c r="J165" s="5"/>
      <c r="K165" s="5"/>
    </row>
    <row r="166" spans="1:11" ht="18.75" customHeight="1" x14ac:dyDescent="0.3">
      <c r="A166" s="30">
        <v>184</v>
      </c>
      <c r="B166" s="29"/>
      <c r="C166" s="5" t="s">
        <v>14</v>
      </c>
      <c r="D166" s="7">
        <v>186</v>
      </c>
      <c r="E166" s="31">
        <v>15836</v>
      </c>
      <c r="F166" s="29"/>
      <c r="G166" s="32">
        <v>45201</v>
      </c>
      <c r="H166" s="29"/>
      <c r="I166" s="5" t="s">
        <v>69</v>
      </c>
      <c r="J166" s="5"/>
      <c r="K166" s="5"/>
    </row>
    <row r="167" spans="1:11" ht="18.75" customHeight="1" x14ac:dyDescent="0.3">
      <c r="A167" s="30">
        <v>185</v>
      </c>
      <c r="B167" s="29"/>
      <c r="C167" s="5" t="s">
        <v>14</v>
      </c>
      <c r="D167" s="7">
        <v>190</v>
      </c>
      <c r="E167" s="31">
        <v>15829</v>
      </c>
      <c r="F167" s="29"/>
      <c r="G167" s="32">
        <v>45202</v>
      </c>
      <c r="H167" s="29"/>
      <c r="I167" s="5" t="s">
        <v>69</v>
      </c>
      <c r="J167" s="5"/>
      <c r="K167" s="5"/>
    </row>
    <row r="168" spans="1:11" ht="18.75" customHeight="1" x14ac:dyDescent="0.3">
      <c r="A168" s="30">
        <v>186</v>
      </c>
      <c r="B168" s="29"/>
      <c r="C168" s="5" t="s">
        <v>14</v>
      </c>
      <c r="D168" s="7">
        <v>199</v>
      </c>
      <c r="E168" s="31">
        <v>15847</v>
      </c>
      <c r="F168" s="29"/>
      <c r="G168" s="32">
        <v>45203</v>
      </c>
      <c r="H168" s="29"/>
      <c r="I168" s="5" t="s">
        <v>69</v>
      </c>
      <c r="J168" s="5"/>
      <c r="K168" s="5"/>
    </row>
    <row r="169" spans="1:11" ht="18.75" customHeight="1" x14ac:dyDescent="0.3">
      <c r="A169" s="30">
        <v>187</v>
      </c>
      <c r="B169" s="29"/>
      <c r="C169" s="5" t="s">
        <v>14</v>
      </c>
      <c r="D169" s="7">
        <v>152</v>
      </c>
      <c r="E169" s="31">
        <v>15827</v>
      </c>
      <c r="F169" s="29"/>
      <c r="G169" s="32">
        <v>45204</v>
      </c>
      <c r="H169" s="29"/>
      <c r="I169" s="5" t="s">
        <v>69</v>
      </c>
      <c r="J169" s="5"/>
      <c r="K169" s="5"/>
    </row>
    <row r="170" spans="1:11" ht="18.75" customHeight="1" x14ac:dyDescent="0.3">
      <c r="A170" s="30">
        <v>188</v>
      </c>
      <c r="B170" s="29"/>
      <c r="C170" s="5" t="s">
        <v>14</v>
      </c>
      <c r="D170" s="7">
        <v>156</v>
      </c>
      <c r="E170" s="31">
        <v>15875</v>
      </c>
      <c r="F170" s="29"/>
      <c r="G170" s="32">
        <v>45205</v>
      </c>
      <c r="H170" s="29"/>
      <c r="I170" s="5" t="s">
        <v>69</v>
      </c>
      <c r="J170" s="5"/>
      <c r="K170" s="5"/>
    </row>
    <row r="171" spans="1:11" ht="18.75" customHeight="1" x14ac:dyDescent="0.3">
      <c r="A171" s="30">
        <v>189</v>
      </c>
      <c r="B171" s="29"/>
      <c r="C171" s="5" t="s">
        <v>14</v>
      </c>
      <c r="D171" s="7">
        <v>186</v>
      </c>
      <c r="E171" s="31">
        <v>15887</v>
      </c>
      <c r="F171" s="29"/>
      <c r="G171" s="32">
        <v>45206</v>
      </c>
      <c r="H171" s="29"/>
      <c r="I171" s="5" t="s">
        <v>69</v>
      </c>
      <c r="J171" s="5"/>
      <c r="K171" s="5"/>
    </row>
    <row r="172" spans="1:11" ht="18.75" customHeight="1" x14ac:dyDescent="0.3">
      <c r="A172" s="30">
        <v>190</v>
      </c>
      <c r="B172" s="29"/>
      <c r="C172" s="5" t="s">
        <v>14</v>
      </c>
      <c r="D172" s="7">
        <v>119</v>
      </c>
      <c r="E172" s="31">
        <v>12852</v>
      </c>
      <c r="F172" s="29"/>
      <c r="G172" s="32">
        <v>45207</v>
      </c>
      <c r="H172" s="29"/>
      <c r="I172" s="5" t="s">
        <v>69</v>
      </c>
      <c r="J172" s="5"/>
      <c r="K172" s="5"/>
    </row>
    <row r="173" spans="1:11" ht="18.75" customHeight="1" x14ac:dyDescent="0.3">
      <c r="A173" s="30">
        <v>191</v>
      </c>
      <c r="B173" s="29"/>
      <c r="C173" s="5" t="s">
        <v>40</v>
      </c>
      <c r="D173" s="7">
        <v>420</v>
      </c>
      <c r="E173" s="31">
        <v>92867</v>
      </c>
      <c r="F173" s="29"/>
      <c r="G173" s="32">
        <v>45208</v>
      </c>
      <c r="H173" s="29"/>
      <c r="I173" s="5" t="s">
        <v>15</v>
      </c>
      <c r="J173" s="5" t="s">
        <v>30</v>
      </c>
      <c r="K173" s="5"/>
    </row>
    <row r="174" spans="1:11" ht="18.75" customHeight="1" x14ac:dyDescent="0.3">
      <c r="A174" s="30">
        <v>192</v>
      </c>
      <c r="B174" s="29"/>
      <c r="C174" s="5" t="s">
        <v>40</v>
      </c>
      <c r="D174" s="7">
        <v>440</v>
      </c>
      <c r="E174" s="31">
        <v>92869</v>
      </c>
      <c r="F174" s="29"/>
      <c r="G174" s="32">
        <v>45209</v>
      </c>
      <c r="H174" s="29"/>
      <c r="I174" s="5" t="s">
        <v>15</v>
      </c>
      <c r="J174" s="5" t="s">
        <v>30</v>
      </c>
      <c r="K174" s="5"/>
    </row>
    <row r="175" spans="1:11" ht="18.75" customHeight="1" x14ac:dyDescent="0.3">
      <c r="A175" s="30">
        <v>193</v>
      </c>
      <c r="B175" s="29"/>
      <c r="C175" s="5" t="s">
        <v>40</v>
      </c>
      <c r="D175" s="7">
        <v>501</v>
      </c>
      <c r="E175" s="31">
        <v>92876</v>
      </c>
      <c r="F175" s="29"/>
      <c r="G175" s="32">
        <v>45210</v>
      </c>
      <c r="H175" s="29"/>
      <c r="I175" s="5" t="s">
        <v>15</v>
      </c>
      <c r="J175" s="5" t="s">
        <v>30</v>
      </c>
      <c r="K175" s="5"/>
    </row>
    <row r="176" spans="1:11" ht="18.75" customHeight="1" x14ac:dyDescent="0.3">
      <c r="A176" s="30">
        <v>194</v>
      </c>
      <c r="B176" s="29"/>
      <c r="C176" s="5" t="s">
        <v>40</v>
      </c>
      <c r="D176" s="7">
        <v>400</v>
      </c>
      <c r="E176" s="31">
        <v>93736</v>
      </c>
      <c r="F176" s="29"/>
      <c r="G176" s="32">
        <v>45211</v>
      </c>
      <c r="H176" s="29"/>
      <c r="I176" s="5" t="s">
        <v>15</v>
      </c>
      <c r="J176" s="5" t="s">
        <v>30</v>
      </c>
      <c r="K176" s="5"/>
    </row>
    <row r="177" spans="1:11" ht="18.75" customHeight="1" x14ac:dyDescent="0.3">
      <c r="A177" s="53">
        <v>195</v>
      </c>
      <c r="B177" s="29"/>
      <c r="C177" s="5"/>
      <c r="D177" s="8"/>
      <c r="E177" s="28"/>
      <c r="F177" s="29"/>
      <c r="G177" s="32"/>
      <c r="H177" s="29"/>
      <c r="I177" s="5"/>
      <c r="J177" s="5"/>
      <c r="K177" s="5"/>
    </row>
    <row r="178" spans="1:11" ht="18.75" customHeight="1" x14ac:dyDescent="0.3">
      <c r="A178" s="53">
        <v>196</v>
      </c>
      <c r="B178" s="29"/>
      <c r="C178" s="5"/>
      <c r="D178" s="8"/>
      <c r="E178" s="28"/>
      <c r="F178" s="29"/>
      <c r="G178" s="32"/>
      <c r="H178" s="29"/>
      <c r="I178" s="5"/>
      <c r="J178" s="5"/>
      <c r="K178" s="5"/>
    </row>
    <row r="179" spans="1:11" ht="18.75" customHeight="1" x14ac:dyDescent="0.3">
      <c r="A179" s="30">
        <v>197</v>
      </c>
      <c r="B179" s="29"/>
      <c r="C179" s="5" t="s">
        <v>40</v>
      </c>
      <c r="D179" s="7">
        <v>505</v>
      </c>
      <c r="E179" s="31">
        <v>92888</v>
      </c>
      <c r="F179" s="29"/>
      <c r="G179" s="32">
        <v>45212</v>
      </c>
      <c r="H179" s="29"/>
      <c r="I179" s="5" t="s">
        <v>15</v>
      </c>
      <c r="J179" s="5" t="s">
        <v>30</v>
      </c>
      <c r="K179" s="5"/>
    </row>
    <row r="180" spans="1:11" ht="18.75" customHeight="1" x14ac:dyDescent="0.3">
      <c r="A180" s="30">
        <v>198</v>
      </c>
      <c r="B180" s="29"/>
      <c r="C180" s="5" t="s">
        <v>40</v>
      </c>
      <c r="D180" s="7">
        <v>403</v>
      </c>
      <c r="E180" s="31">
        <v>92893</v>
      </c>
      <c r="F180" s="29"/>
      <c r="G180" s="32">
        <v>45213</v>
      </c>
      <c r="H180" s="29"/>
      <c r="I180" s="5" t="s">
        <v>15</v>
      </c>
      <c r="J180" s="5" t="s">
        <v>30</v>
      </c>
      <c r="K180" s="5"/>
    </row>
    <row r="181" spans="1:11" ht="18.75" customHeight="1" x14ac:dyDescent="0.3">
      <c r="A181" s="30">
        <v>199</v>
      </c>
      <c r="B181" s="29"/>
      <c r="C181" s="5" t="s">
        <v>14</v>
      </c>
      <c r="D181" s="7">
        <v>214</v>
      </c>
      <c r="E181" s="31">
        <v>12854</v>
      </c>
      <c r="F181" s="29"/>
      <c r="G181" s="32">
        <v>45208</v>
      </c>
      <c r="H181" s="29"/>
      <c r="I181" s="5" t="s">
        <v>69</v>
      </c>
      <c r="J181" s="5"/>
      <c r="K181" s="5"/>
    </row>
    <row r="182" spans="1:11" ht="18.75" customHeight="1" x14ac:dyDescent="0.3">
      <c r="A182" s="30">
        <v>200</v>
      </c>
      <c r="B182" s="29"/>
      <c r="C182" s="5" t="s">
        <v>14</v>
      </c>
      <c r="D182" s="7">
        <v>153</v>
      </c>
      <c r="E182" s="31">
        <v>12859</v>
      </c>
      <c r="F182" s="29"/>
      <c r="G182" s="32">
        <v>45209</v>
      </c>
      <c r="H182" s="29"/>
      <c r="I182" s="5" t="s">
        <v>69</v>
      </c>
      <c r="J182" s="5"/>
      <c r="K182" s="5"/>
    </row>
    <row r="183" spans="1:11" ht="18.75" customHeight="1" x14ac:dyDescent="0.3">
      <c r="A183" s="30">
        <v>201</v>
      </c>
      <c r="B183" s="29"/>
      <c r="C183" s="5" t="s">
        <v>14</v>
      </c>
      <c r="D183" s="7">
        <v>169</v>
      </c>
      <c r="E183" s="31">
        <v>12864</v>
      </c>
      <c r="F183" s="29"/>
      <c r="G183" s="32">
        <v>45210</v>
      </c>
      <c r="H183" s="29"/>
      <c r="I183" s="5" t="s">
        <v>69</v>
      </c>
      <c r="J183" s="5"/>
      <c r="K183" s="5"/>
    </row>
    <row r="184" spans="1:11" ht="18.75" customHeight="1" x14ac:dyDescent="0.3">
      <c r="A184" s="30">
        <v>202</v>
      </c>
      <c r="B184" s="29"/>
      <c r="C184" s="5" t="s">
        <v>14</v>
      </c>
      <c r="D184" s="7">
        <v>117</v>
      </c>
      <c r="E184" s="31">
        <v>12880</v>
      </c>
      <c r="F184" s="29"/>
      <c r="G184" s="32">
        <v>45211</v>
      </c>
      <c r="H184" s="29"/>
      <c r="I184" s="5" t="s">
        <v>69</v>
      </c>
      <c r="J184" s="5"/>
      <c r="K184" s="5"/>
    </row>
    <row r="185" spans="1:11" ht="18.75" customHeight="1" x14ac:dyDescent="0.3">
      <c r="A185" s="30">
        <v>203</v>
      </c>
      <c r="B185" s="29"/>
      <c r="C185" s="5" t="s">
        <v>14</v>
      </c>
      <c r="D185" s="7">
        <v>226</v>
      </c>
      <c r="E185" s="31">
        <v>12884</v>
      </c>
      <c r="F185" s="29"/>
      <c r="G185" s="32">
        <v>45212</v>
      </c>
      <c r="H185" s="29"/>
      <c r="I185" s="5" t="s">
        <v>69</v>
      </c>
      <c r="J185" s="5"/>
      <c r="K185" s="5"/>
    </row>
    <row r="186" spans="1:11" ht="18.75" customHeight="1" x14ac:dyDescent="0.3">
      <c r="A186" s="30">
        <v>204</v>
      </c>
      <c r="B186" s="29"/>
      <c r="C186" s="5" t="s">
        <v>14</v>
      </c>
      <c r="D186" s="7">
        <v>186</v>
      </c>
      <c r="E186" s="31">
        <v>12887</v>
      </c>
      <c r="F186" s="29"/>
      <c r="G186" s="32">
        <v>45213</v>
      </c>
      <c r="H186" s="29"/>
      <c r="I186" s="5" t="s">
        <v>69</v>
      </c>
      <c r="J186" s="5"/>
      <c r="K186" s="5"/>
    </row>
    <row r="187" spans="1:11" ht="18.75" customHeight="1" x14ac:dyDescent="0.3">
      <c r="A187" s="30">
        <v>205</v>
      </c>
      <c r="B187" s="29"/>
      <c r="C187" s="5" t="s">
        <v>14</v>
      </c>
      <c r="D187" s="7">
        <v>127</v>
      </c>
      <c r="E187" s="31">
        <v>12889</v>
      </c>
      <c r="F187" s="29"/>
      <c r="G187" s="32">
        <v>45214</v>
      </c>
      <c r="H187" s="29"/>
      <c r="I187" s="5" t="s">
        <v>69</v>
      </c>
      <c r="J187" s="5"/>
      <c r="K187" s="5"/>
    </row>
    <row r="188" spans="1:11" ht="18.75" customHeight="1" x14ac:dyDescent="0.3">
      <c r="A188" s="30">
        <v>206</v>
      </c>
      <c r="B188" s="29"/>
      <c r="C188" s="5" t="s">
        <v>40</v>
      </c>
      <c r="D188" s="7">
        <v>551</v>
      </c>
      <c r="E188" s="31">
        <v>92904</v>
      </c>
      <c r="F188" s="29"/>
      <c r="G188" s="32">
        <v>45215</v>
      </c>
      <c r="H188" s="29"/>
      <c r="I188" s="5" t="s">
        <v>15</v>
      </c>
      <c r="J188" s="5" t="s">
        <v>30</v>
      </c>
      <c r="K188" s="5"/>
    </row>
    <row r="189" spans="1:11" ht="18.75" customHeight="1" x14ac:dyDescent="0.3">
      <c r="A189" s="30">
        <v>207</v>
      </c>
      <c r="B189" s="29"/>
      <c r="C189" s="5" t="s">
        <v>40</v>
      </c>
      <c r="D189" s="7">
        <v>507</v>
      </c>
      <c r="E189" s="31">
        <v>92909</v>
      </c>
      <c r="F189" s="29"/>
      <c r="G189" s="32">
        <v>45216</v>
      </c>
      <c r="H189" s="29"/>
      <c r="I189" s="5" t="s">
        <v>15</v>
      </c>
      <c r="J189" s="5" t="s">
        <v>30</v>
      </c>
      <c r="K189" s="5"/>
    </row>
    <row r="190" spans="1:11" ht="18.75" customHeight="1" x14ac:dyDescent="0.3">
      <c r="A190" s="30">
        <v>208</v>
      </c>
      <c r="B190" s="29"/>
      <c r="C190" s="5" t="s">
        <v>40</v>
      </c>
      <c r="D190" s="7">
        <v>557</v>
      </c>
      <c r="E190" s="31">
        <v>92915</v>
      </c>
      <c r="F190" s="29"/>
      <c r="G190" s="32">
        <v>45217</v>
      </c>
      <c r="H190" s="29"/>
      <c r="I190" s="5" t="s">
        <v>15</v>
      </c>
      <c r="J190" s="5" t="s">
        <v>30</v>
      </c>
      <c r="K190" s="5"/>
    </row>
    <row r="191" spans="1:11" ht="18.75" customHeight="1" x14ac:dyDescent="0.3">
      <c r="A191" s="30">
        <v>209</v>
      </c>
      <c r="B191" s="29"/>
      <c r="C191" s="5" t="s">
        <v>40</v>
      </c>
      <c r="D191" s="7">
        <v>390</v>
      </c>
      <c r="E191" s="31">
        <v>92921</v>
      </c>
      <c r="F191" s="29"/>
      <c r="G191" s="32">
        <v>45218</v>
      </c>
      <c r="H191" s="29"/>
      <c r="I191" s="5" t="s">
        <v>15</v>
      </c>
      <c r="J191" s="5" t="s">
        <v>30</v>
      </c>
      <c r="K191" s="5"/>
    </row>
    <row r="192" spans="1:11" ht="18.75" customHeight="1" x14ac:dyDescent="0.3">
      <c r="A192" s="30">
        <v>210</v>
      </c>
      <c r="B192" s="29"/>
      <c r="C192" s="5" t="s">
        <v>40</v>
      </c>
      <c r="D192" s="7">
        <v>382</v>
      </c>
      <c r="E192" s="31">
        <v>93457</v>
      </c>
      <c r="F192" s="29"/>
      <c r="G192" s="32">
        <v>45218</v>
      </c>
      <c r="H192" s="29"/>
      <c r="I192" s="5" t="s">
        <v>15</v>
      </c>
      <c r="J192" s="5" t="s">
        <v>30</v>
      </c>
      <c r="K192" s="5"/>
    </row>
    <row r="193" spans="1:11" ht="18.75" customHeight="1" x14ac:dyDescent="0.3">
      <c r="A193" s="30">
        <v>211</v>
      </c>
      <c r="B193" s="29"/>
      <c r="C193" s="5" t="s">
        <v>40</v>
      </c>
      <c r="D193" s="7">
        <v>350</v>
      </c>
      <c r="E193" s="31">
        <v>92655</v>
      </c>
      <c r="F193" s="29"/>
      <c r="G193" s="32">
        <v>45219</v>
      </c>
      <c r="H193" s="29"/>
      <c r="I193" s="5" t="s">
        <v>15</v>
      </c>
      <c r="J193" s="5" t="s">
        <v>30</v>
      </c>
      <c r="K193" s="5"/>
    </row>
    <row r="194" spans="1:11" ht="18.75" customHeight="1" x14ac:dyDescent="0.3">
      <c r="A194" s="30">
        <v>212</v>
      </c>
      <c r="B194" s="29"/>
      <c r="C194" s="5" t="s">
        <v>40</v>
      </c>
      <c r="D194" s="7">
        <v>423</v>
      </c>
      <c r="E194" s="31">
        <v>92930</v>
      </c>
      <c r="F194" s="29"/>
      <c r="G194" s="32">
        <v>45220</v>
      </c>
      <c r="H194" s="29"/>
      <c r="I194" s="5" t="s">
        <v>15</v>
      </c>
      <c r="J194" s="5" t="s">
        <v>30</v>
      </c>
      <c r="K194" s="5"/>
    </row>
    <row r="195" spans="1:11" ht="18.75" customHeight="1" x14ac:dyDescent="0.3">
      <c r="A195" s="30">
        <v>213</v>
      </c>
      <c r="B195" s="29"/>
      <c r="C195" s="5" t="s">
        <v>14</v>
      </c>
      <c r="D195" s="7">
        <v>223</v>
      </c>
      <c r="E195" s="31">
        <v>12897</v>
      </c>
      <c r="F195" s="29"/>
      <c r="G195" s="32">
        <v>45215</v>
      </c>
      <c r="H195" s="29"/>
      <c r="I195" s="5" t="s">
        <v>69</v>
      </c>
      <c r="J195" s="5"/>
      <c r="K195" s="5"/>
    </row>
    <row r="196" spans="1:11" ht="18.75" customHeight="1" x14ac:dyDescent="0.3">
      <c r="A196" s="30">
        <v>214</v>
      </c>
      <c r="B196" s="29"/>
      <c r="C196" s="5" t="s">
        <v>14</v>
      </c>
      <c r="D196" s="7">
        <v>171</v>
      </c>
      <c r="E196" s="31">
        <v>12905</v>
      </c>
      <c r="F196" s="29"/>
      <c r="G196" s="32">
        <v>45216</v>
      </c>
      <c r="H196" s="29"/>
      <c r="I196" s="5" t="s">
        <v>69</v>
      </c>
      <c r="J196" s="5"/>
      <c r="K196" s="5"/>
    </row>
    <row r="197" spans="1:11" ht="18.75" customHeight="1" x14ac:dyDescent="0.3">
      <c r="A197" s="30">
        <v>215</v>
      </c>
      <c r="B197" s="29"/>
      <c r="C197" s="5" t="s">
        <v>14</v>
      </c>
      <c r="D197" s="7">
        <v>224</v>
      </c>
      <c r="E197" s="31">
        <v>12918</v>
      </c>
      <c r="F197" s="29"/>
      <c r="G197" s="32">
        <v>45217</v>
      </c>
      <c r="H197" s="29"/>
      <c r="I197" s="5" t="s">
        <v>69</v>
      </c>
      <c r="J197" s="5"/>
      <c r="K197" s="5"/>
    </row>
    <row r="198" spans="1:11" ht="18.75" customHeight="1" x14ac:dyDescent="0.3">
      <c r="A198" s="30">
        <v>216</v>
      </c>
      <c r="B198" s="29"/>
      <c r="C198" s="5" t="s">
        <v>14</v>
      </c>
      <c r="D198" s="7">
        <v>138</v>
      </c>
      <c r="E198" s="31">
        <v>12928</v>
      </c>
      <c r="F198" s="29"/>
      <c r="G198" s="32">
        <v>45218</v>
      </c>
      <c r="H198" s="29"/>
      <c r="I198" s="5" t="s">
        <v>69</v>
      </c>
      <c r="J198" s="5"/>
      <c r="K198" s="5"/>
    </row>
    <row r="199" spans="1:11" ht="18.75" customHeight="1" x14ac:dyDescent="0.3">
      <c r="A199" s="30">
        <v>217</v>
      </c>
      <c r="B199" s="29"/>
      <c r="C199" s="5" t="s">
        <v>14</v>
      </c>
      <c r="D199" s="7">
        <v>219</v>
      </c>
      <c r="E199" s="31">
        <v>12936</v>
      </c>
      <c r="F199" s="29"/>
      <c r="G199" s="32">
        <v>45219</v>
      </c>
      <c r="H199" s="29"/>
      <c r="I199" s="5" t="s">
        <v>69</v>
      </c>
      <c r="J199" s="5"/>
      <c r="K199" s="5"/>
    </row>
    <row r="200" spans="1:11" ht="18.75" customHeight="1" x14ac:dyDescent="0.3">
      <c r="A200" s="30">
        <v>218</v>
      </c>
      <c r="B200" s="29"/>
      <c r="C200" s="5" t="s">
        <v>14</v>
      </c>
      <c r="D200" s="7">
        <v>159</v>
      </c>
      <c r="E200" s="31">
        <v>12953</v>
      </c>
      <c r="F200" s="29"/>
      <c r="G200" s="32">
        <v>45220</v>
      </c>
      <c r="H200" s="29"/>
      <c r="I200" s="5" t="s">
        <v>69</v>
      </c>
      <c r="J200" s="5"/>
      <c r="K200" s="5"/>
    </row>
    <row r="201" spans="1:11" ht="18.75" customHeight="1" x14ac:dyDescent="0.3">
      <c r="A201" s="30">
        <v>219</v>
      </c>
      <c r="B201" s="29"/>
      <c r="C201" s="5" t="s">
        <v>40</v>
      </c>
      <c r="D201" s="7">
        <v>612</v>
      </c>
      <c r="E201" s="31">
        <v>92935</v>
      </c>
      <c r="F201" s="29"/>
      <c r="G201" s="32">
        <v>45222</v>
      </c>
      <c r="H201" s="29"/>
      <c r="I201" s="5" t="s">
        <v>15</v>
      </c>
      <c r="J201" s="5" t="s">
        <v>30</v>
      </c>
      <c r="K201" s="5"/>
    </row>
    <row r="202" spans="1:11" ht="18.75" customHeight="1" x14ac:dyDescent="0.3">
      <c r="A202" s="30">
        <v>220</v>
      </c>
      <c r="B202" s="29"/>
      <c r="C202" s="5" t="s">
        <v>40</v>
      </c>
      <c r="D202" s="7">
        <v>272</v>
      </c>
      <c r="E202" s="31">
        <v>93635</v>
      </c>
      <c r="F202" s="29"/>
      <c r="G202" s="32">
        <v>45223</v>
      </c>
      <c r="H202" s="29"/>
      <c r="I202" s="5" t="s">
        <v>15</v>
      </c>
      <c r="J202" s="5" t="s">
        <v>30</v>
      </c>
      <c r="K202" s="5"/>
    </row>
    <row r="203" spans="1:11" ht="18.75" customHeight="1" x14ac:dyDescent="0.3">
      <c r="A203" s="30">
        <v>221</v>
      </c>
      <c r="B203" s="29"/>
      <c r="C203" s="5" t="s">
        <v>40</v>
      </c>
      <c r="D203" s="7">
        <v>400</v>
      </c>
      <c r="E203" s="31">
        <v>92944</v>
      </c>
      <c r="F203" s="29"/>
      <c r="G203" s="32">
        <v>45224</v>
      </c>
      <c r="H203" s="29"/>
      <c r="I203" s="5" t="s">
        <v>15</v>
      </c>
      <c r="J203" s="5" t="s">
        <v>30</v>
      </c>
      <c r="K203" s="5"/>
    </row>
    <row r="204" spans="1:11" ht="18.75" customHeight="1" x14ac:dyDescent="0.3">
      <c r="A204" s="30">
        <v>222</v>
      </c>
      <c r="B204" s="29"/>
      <c r="C204" s="5" t="s">
        <v>40</v>
      </c>
      <c r="D204" s="7">
        <v>452</v>
      </c>
      <c r="E204" s="31">
        <v>93640</v>
      </c>
      <c r="F204" s="29"/>
      <c r="G204" s="32">
        <v>45225</v>
      </c>
      <c r="H204" s="29"/>
      <c r="I204" s="5" t="s">
        <v>15</v>
      </c>
      <c r="J204" s="5" t="s">
        <v>30</v>
      </c>
      <c r="K204" s="5"/>
    </row>
    <row r="205" spans="1:11" ht="18.75" customHeight="1" x14ac:dyDescent="0.3">
      <c r="A205" s="30">
        <v>223</v>
      </c>
      <c r="B205" s="29"/>
      <c r="C205" s="5" t="s">
        <v>40</v>
      </c>
      <c r="D205" s="7">
        <v>490</v>
      </c>
      <c r="E205" s="31">
        <v>92962</v>
      </c>
      <c r="F205" s="29"/>
      <c r="G205" s="32">
        <v>45226</v>
      </c>
      <c r="H205" s="29"/>
      <c r="I205" s="5" t="s">
        <v>15</v>
      </c>
      <c r="J205" s="5" t="s">
        <v>30</v>
      </c>
      <c r="K205" s="5"/>
    </row>
    <row r="206" spans="1:11" ht="18.75" customHeight="1" x14ac:dyDescent="0.3">
      <c r="A206" s="30">
        <v>224</v>
      </c>
      <c r="B206" s="29"/>
      <c r="C206" s="5" t="s">
        <v>40</v>
      </c>
      <c r="D206" s="7">
        <v>490</v>
      </c>
      <c r="E206" s="31">
        <v>93643</v>
      </c>
      <c r="F206" s="29"/>
      <c r="G206" s="32">
        <v>45227</v>
      </c>
      <c r="H206" s="29"/>
      <c r="I206" s="5" t="s">
        <v>15</v>
      </c>
      <c r="J206" s="5" t="s">
        <v>30</v>
      </c>
      <c r="K206" s="5"/>
    </row>
    <row r="207" spans="1:11" ht="18.75" customHeight="1" x14ac:dyDescent="0.3">
      <c r="A207" s="30">
        <v>225</v>
      </c>
      <c r="B207" s="29"/>
      <c r="C207" s="5" t="s">
        <v>14</v>
      </c>
      <c r="D207" s="7">
        <v>187</v>
      </c>
      <c r="E207" s="31">
        <v>12949</v>
      </c>
      <c r="F207" s="29"/>
      <c r="G207" s="32">
        <v>45222</v>
      </c>
      <c r="H207" s="29"/>
      <c r="I207" s="5" t="s">
        <v>69</v>
      </c>
      <c r="J207" s="5"/>
      <c r="K207" s="5"/>
    </row>
    <row r="208" spans="1:11" ht="18.75" customHeight="1" x14ac:dyDescent="0.3">
      <c r="A208" s="30">
        <v>226</v>
      </c>
      <c r="B208" s="29"/>
      <c r="C208" s="5" t="s">
        <v>14</v>
      </c>
      <c r="D208" s="7">
        <v>238</v>
      </c>
      <c r="E208" s="31">
        <v>12966</v>
      </c>
      <c r="F208" s="29"/>
      <c r="G208" s="32">
        <v>45223</v>
      </c>
      <c r="H208" s="29"/>
      <c r="I208" s="5" t="s">
        <v>69</v>
      </c>
      <c r="J208" s="5"/>
      <c r="K208" s="5"/>
    </row>
    <row r="209" spans="1:11" ht="18.75" customHeight="1" x14ac:dyDescent="0.3">
      <c r="A209" s="30">
        <v>227</v>
      </c>
      <c r="B209" s="29"/>
      <c r="C209" s="5" t="s">
        <v>14</v>
      </c>
      <c r="D209" s="7">
        <v>197</v>
      </c>
      <c r="E209" s="31">
        <v>12972</v>
      </c>
      <c r="F209" s="29"/>
      <c r="G209" s="32">
        <v>45224</v>
      </c>
      <c r="H209" s="29"/>
      <c r="I209" s="5" t="s">
        <v>69</v>
      </c>
      <c r="J209" s="5"/>
      <c r="K209" s="5"/>
    </row>
    <row r="210" spans="1:11" ht="18.75" customHeight="1" x14ac:dyDescent="0.3">
      <c r="A210" s="30">
        <v>228</v>
      </c>
      <c r="B210" s="29"/>
      <c r="C210" s="5" t="s">
        <v>14</v>
      </c>
      <c r="D210" s="7">
        <v>97</v>
      </c>
      <c r="E210" s="31">
        <v>12981</v>
      </c>
      <c r="F210" s="29"/>
      <c r="G210" s="32">
        <v>45225</v>
      </c>
      <c r="H210" s="29"/>
      <c r="I210" s="5" t="s">
        <v>69</v>
      </c>
      <c r="J210" s="5"/>
      <c r="K210" s="5"/>
    </row>
    <row r="211" spans="1:11" ht="18.75" customHeight="1" x14ac:dyDescent="0.3">
      <c r="A211" s="30">
        <v>229</v>
      </c>
      <c r="B211" s="29"/>
      <c r="C211" s="5" t="s">
        <v>14</v>
      </c>
      <c r="D211" s="7">
        <v>224</v>
      </c>
      <c r="E211" s="31">
        <v>12991</v>
      </c>
      <c r="F211" s="29"/>
      <c r="G211" s="32">
        <v>45226</v>
      </c>
      <c r="H211" s="29"/>
      <c r="I211" s="5" t="s">
        <v>69</v>
      </c>
      <c r="J211" s="5"/>
      <c r="K211" s="5"/>
    </row>
    <row r="212" spans="1:11" ht="18.75" customHeight="1" x14ac:dyDescent="0.3">
      <c r="A212" s="30">
        <v>230</v>
      </c>
      <c r="B212" s="29"/>
      <c r="C212" s="5" t="s">
        <v>14</v>
      </c>
      <c r="D212" s="7">
        <v>130</v>
      </c>
      <c r="E212" s="31">
        <v>12998</v>
      </c>
      <c r="F212" s="29"/>
      <c r="G212" s="32">
        <v>45227</v>
      </c>
      <c r="H212" s="29"/>
      <c r="I212" s="5" t="s">
        <v>69</v>
      </c>
      <c r="J212" s="5"/>
      <c r="K212" s="5"/>
    </row>
    <row r="213" spans="1:11" ht="18.75" customHeight="1" x14ac:dyDescent="0.3">
      <c r="A213" s="30">
        <v>231</v>
      </c>
      <c r="B213" s="29"/>
      <c r="C213" s="5" t="s">
        <v>14</v>
      </c>
      <c r="D213" s="7">
        <v>157</v>
      </c>
      <c r="E213" s="31">
        <v>18003</v>
      </c>
      <c r="F213" s="29"/>
      <c r="G213" s="32">
        <v>45228</v>
      </c>
      <c r="H213" s="29"/>
      <c r="I213" s="5" t="s">
        <v>69</v>
      </c>
      <c r="J213" s="5"/>
      <c r="K213" s="5"/>
    </row>
    <row r="214" spans="1:11" ht="18.75" customHeight="1" x14ac:dyDescent="0.3">
      <c r="A214" s="30">
        <v>232</v>
      </c>
      <c r="B214" s="29"/>
      <c r="C214" s="5" t="s">
        <v>40</v>
      </c>
      <c r="D214" s="7">
        <v>450</v>
      </c>
      <c r="E214" s="31">
        <v>102821</v>
      </c>
      <c r="F214" s="29"/>
      <c r="G214" s="32">
        <v>45226</v>
      </c>
      <c r="H214" s="29"/>
      <c r="I214" s="5" t="s">
        <v>69</v>
      </c>
      <c r="J214" s="5"/>
      <c r="K214" s="5"/>
    </row>
    <row r="215" spans="1:11" ht="18.75" customHeight="1" x14ac:dyDescent="0.3">
      <c r="A215" s="30">
        <v>233</v>
      </c>
      <c r="B215" s="29"/>
      <c r="C215" s="5" t="s">
        <v>40</v>
      </c>
      <c r="D215" s="7">
        <v>239</v>
      </c>
      <c r="E215" s="31">
        <v>28828</v>
      </c>
      <c r="F215" s="29"/>
      <c r="G215" s="32">
        <v>45227</v>
      </c>
      <c r="H215" s="29"/>
      <c r="I215" s="5" t="s">
        <v>69</v>
      </c>
      <c r="J215" s="5"/>
      <c r="K215" s="5"/>
    </row>
    <row r="216" spans="1:11" ht="18.75" customHeight="1" x14ac:dyDescent="0.3">
      <c r="A216" s="30">
        <v>234</v>
      </c>
      <c r="B216" s="29"/>
      <c r="C216" s="5" t="s">
        <v>40</v>
      </c>
      <c r="D216" s="7">
        <v>400</v>
      </c>
      <c r="E216" s="31">
        <v>92970</v>
      </c>
      <c r="F216" s="29"/>
      <c r="G216" s="32">
        <v>45233</v>
      </c>
      <c r="H216" s="29"/>
      <c r="I216" s="5" t="s">
        <v>15</v>
      </c>
      <c r="J216" s="5" t="s">
        <v>75</v>
      </c>
      <c r="K216" s="5"/>
    </row>
    <row r="217" spans="1:11" ht="18.75" customHeight="1" x14ac:dyDescent="0.3">
      <c r="A217" s="30">
        <v>235</v>
      </c>
      <c r="B217" s="29"/>
      <c r="C217" s="5" t="s">
        <v>40</v>
      </c>
      <c r="D217" s="7">
        <v>400</v>
      </c>
      <c r="E217" s="31">
        <v>93649</v>
      </c>
      <c r="F217" s="29"/>
      <c r="G217" s="32">
        <v>45233</v>
      </c>
      <c r="H217" s="29"/>
      <c r="I217" s="5" t="s">
        <v>15</v>
      </c>
      <c r="J217" s="5" t="s">
        <v>30</v>
      </c>
      <c r="K217" s="5"/>
    </row>
    <row r="218" spans="1:11" ht="18.75" customHeight="1" x14ac:dyDescent="0.3">
      <c r="A218" s="30">
        <v>236</v>
      </c>
      <c r="B218" s="29"/>
      <c r="C218" s="5" t="s">
        <v>40</v>
      </c>
      <c r="D218" s="7">
        <v>535</v>
      </c>
      <c r="E218" s="31">
        <v>92975</v>
      </c>
      <c r="F218" s="29"/>
      <c r="G218" s="32">
        <v>45234</v>
      </c>
      <c r="H218" s="29"/>
      <c r="I218" s="5" t="s">
        <v>15</v>
      </c>
      <c r="J218" s="5" t="s">
        <v>30</v>
      </c>
      <c r="K218" s="5"/>
    </row>
    <row r="219" spans="1:11" ht="18.75" customHeight="1" x14ac:dyDescent="0.3">
      <c r="A219" s="30">
        <v>237</v>
      </c>
      <c r="B219" s="29"/>
      <c r="C219" s="5" t="s">
        <v>40</v>
      </c>
      <c r="D219" s="7">
        <v>360</v>
      </c>
      <c r="E219" s="31">
        <v>93576</v>
      </c>
      <c r="F219" s="29"/>
      <c r="G219" s="32">
        <v>45234</v>
      </c>
      <c r="H219" s="29"/>
      <c r="I219" s="5" t="s">
        <v>15</v>
      </c>
      <c r="J219" s="5" t="s">
        <v>30</v>
      </c>
      <c r="K219" s="5"/>
    </row>
    <row r="220" spans="1:11" ht="18.75" customHeight="1" x14ac:dyDescent="0.3">
      <c r="A220" s="30">
        <v>238</v>
      </c>
      <c r="B220" s="29"/>
      <c r="C220" s="5" t="s">
        <v>40</v>
      </c>
      <c r="D220" s="7">
        <v>234</v>
      </c>
      <c r="E220" s="31">
        <v>82285</v>
      </c>
      <c r="F220" s="29"/>
      <c r="G220" s="32">
        <v>45233</v>
      </c>
      <c r="H220" s="29"/>
      <c r="I220" s="5" t="s">
        <v>69</v>
      </c>
      <c r="J220" s="5"/>
      <c r="K220" s="5"/>
    </row>
    <row r="221" spans="1:11" ht="18.75" customHeight="1" x14ac:dyDescent="0.3">
      <c r="A221" s="30">
        <v>239</v>
      </c>
      <c r="B221" s="29"/>
      <c r="C221" s="5" t="s">
        <v>14</v>
      </c>
      <c r="D221" s="7">
        <v>166</v>
      </c>
      <c r="E221" s="31">
        <v>18011</v>
      </c>
      <c r="F221" s="29"/>
      <c r="G221" s="32">
        <v>45229</v>
      </c>
      <c r="H221" s="29"/>
      <c r="I221" s="5" t="s">
        <v>69</v>
      </c>
      <c r="J221" s="5"/>
      <c r="K221" s="5"/>
    </row>
    <row r="222" spans="1:11" ht="18.75" customHeight="1" x14ac:dyDescent="0.3">
      <c r="A222" s="30">
        <v>240</v>
      </c>
      <c r="B222" s="29"/>
      <c r="C222" s="5" t="s">
        <v>14</v>
      </c>
      <c r="D222" s="7">
        <v>121</v>
      </c>
      <c r="E222" s="31">
        <v>18034</v>
      </c>
      <c r="F222" s="29"/>
      <c r="G222" s="32">
        <v>45230</v>
      </c>
      <c r="H222" s="29"/>
      <c r="I222" s="5" t="s">
        <v>69</v>
      </c>
      <c r="J222" s="5"/>
      <c r="K222" s="5"/>
    </row>
    <row r="223" spans="1:11" ht="18.75" customHeight="1" x14ac:dyDescent="0.3">
      <c r="A223" s="30">
        <v>241</v>
      </c>
      <c r="B223" s="29"/>
      <c r="C223" s="5" t="s">
        <v>14</v>
      </c>
      <c r="D223" s="7">
        <v>198</v>
      </c>
      <c r="E223" s="31">
        <v>18050</v>
      </c>
      <c r="F223" s="29"/>
      <c r="G223" s="32">
        <v>45233</v>
      </c>
      <c r="H223" s="29"/>
      <c r="I223" s="5" t="s">
        <v>69</v>
      </c>
      <c r="J223" s="5"/>
      <c r="K223" s="5"/>
    </row>
    <row r="224" spans="1:11" ht="18.75" customHeight="1" x14ac:dyDescent="0.3">
      <c r="A224" s="30">
        <v>242</v>
      </c>
      <c r="B224" s="29"/>
      <c r="C224" s="5" t="s">
        <v>14</v>
      </c>
      <c r="D224" s="7">
        <v>188</v>
      </c>
      <c r="E224" s="31">
        <v>18051</v>
      </c>
      <c r="F224" s="29"/>
      <c r="G224" s="32">
        <v>45234</v>
      </c>
      <c r="H224" s="29"/>
      <c r="I224" s="5" t="s">
        <v>69</v>
      </c>
      <c r="J224" s="5"/>
      <c r="K224" s="5"/>
    </row>
    <row r="225" spans="1:11" ht="18.75" customHeight="1" x14ac:dyDescent="0.3">
      <c r="A225" s="53">
        <v>243</v>
      </c>
      <c r="B225" s="29"/>
      <c r="C225" s="5"/>
      <c r="D225" s="8"/>
      <c r="E225" s="28"/>
      <c r="F225" s="29"/>
      <c r="G225" s="32"/>
      <c r="H225" s="29"/>
      <c r="I225" s="5"/>
      <c r="J225" s="5"/>
      <c r="K225" s="5"/>
    </row>
    <row r="226" spans="1:11" ht="18.75" customHeight="1" x14ac:dyDescent="0.3">
      <c r="A226" s="30">
        <v>244</v>
      </c>
      <c r="B226" s="29"/>
      <c r="C226" s="5" t="s">
        <v>40</v>
      </c>
      <c r="D226" s="7">
        <v>383</v>
      </c>
      <c r="E226" s="31">
        <v>92983</v>
      </c>
      <c r="F226" s="29"/>
      <c r="G226" s="32">
        <v>45236</v>
      </c>
      <c r="H226" s="29"/>
      <c r="I226" s="5" t="s">
        <v>15</v>
      </c>
      <c r="J226" s="5" t="s">
        <v>30</v>
      </c>
      <c r="K226" s="5"/>
    </row>
    <row r="227" spans="1:11" ht="18.75" customHeight="1" x14ac:dyDescent="0.3">
      <c r="A227" s="30">
        <v>245</v>
      </c>
      <c r="B227" s="29"/>
      <c r="C227" s="5" t="s">
        <v>40</v>
      </c>
      <c r="D227" s="7">
        <v>400</v>
      </c>
      <c r="E227" s="31">
        <v>93156</v>
      </c>
      <c r="F227" s="29"/>
      <c r="G227" s="32">
        <v>45236</v>
      </c>
      <c r="H227" s="29"/>
      <c r="I227" s="5" t="s">
        <v>15</v>
      </c>
      <c r="J227" s="5" t="s">
        <v>30</v>
      </c>
      <c r="K227" s="5"/>
    </row>
    <row r="228" spans="1:11" ht="18.75" customHeight="1" x14ac:dyDescent="0.3">
      <c r="A228" s="30">
        <v>246</v>
      </c>
      <c r="B228" s="29"/>
      <c r="C228" s="5" t="s">
        <v>40</v>
      </c>
      <c r="D228" s="7">
        <v>530</v>
      </c>
      <c r="E228" s="31">
        <v>92990</v>
      </c>
      <c r="F228" s="29"/>
      <c r="G228" s="32">
        <v>45237</v>
      </c>
      <c r="H228" s="29"/>
      <c r="I228" s="5" t="s">
        <v>15</v>
      </c>
      <c r="J228" s="5" t="s">
        <v>30</v>
      </c>
      <c r="K228" s="5"/>
    </row>
    <row r="229" spans="1:11" ht="18.75" customHeight="1" x14ac:dyDescent="0.3">
      <c r="A229" s="30">
        <v>247</v>
      </c>
      <c r="B229" s="29"/>
      <c r="C229" s="5" t="s">
        <v>40</v>
      </c>
      <c r="D229" s="7">
        <v>400</v>
      </c>
      <c r="E229" s="31">
        <v>93161</v>
      </c>
      <c r="F229" s="29"/>
      <c r="G229" s="32">
        <v>45237</v>
      </c>
      <c r="H229" s="29"/>
      <c r="I229" s="5" t="s">
        <v>15</v>
      </c>
      <c r="J229" s="5" t="s">
        <v>30</v>
      </c>
      <c r="K229" s="5"/>
    </row>
    <row r="230" spans="1:11" ht="18.75" customHeight="1" x14ac:dyDescent="0.3">
      <c r="A230" s="30">
        <v>248</v>
      </c>
      <c r="B230" s="29"/>
      <c r="C230" s="5" t="s">
        <v>40</v>
      </c>
      <c r="D230" s="7">
        <v>493</v>
      </c>
      <c r="E230" s="31">
        <v>92996</v>
      </c>
      <c r="F230" s="29"/>
      <c r="G230" s="32">
        <v>45238</v>
      </c>
      <c r="H230" s="29"/>
      <c r="I230" s="5" t="s">
        <v>15</v>
      </c>
      <c r="J230" s="5" t="s">
        <v>30</v>
      </c>
      <c r="K230" s="5"/>
    </row>
    <row r="231" spans="1:11" ht="18.75" customHeight="1" x14ac:dyDescent="0.3">
      <c r="A231" s="30">
        <v>249</v>
      </c>
      <c r="B231" s="29"/>
      <c r="C231" s="5" t="s">
        <v>40</v>
      </c>
      <c r="D231" s="7">
        <v>405</v>
      </c>
      <c r="E231" s="31">
        <v>92675</v>
      </c>
      <c r="F231" s="29"/>
      <c r="G231" s="32">
        <v>45238</v>
      </c>
      <c r="H231" s="29"/>
      <c r="I231" s="5" t="s">
        <v>15</v>
      </c>
      <c r="J231" s="5" t="s">
        <v>30</v>
      </c>
      <c r="K231" s="5"/>
    </row>
    <row r="232" spans="1:11" ht="18.75" customHeight="1" x14ac:dyDescent="0.3">
      <c r="A232" s="30">
        <v>250</v>
      </c>
      <c r="B232" s="29"/>
      <c r="C232" s="5" t="s">
        <v>40</v>
      </c>
      <c r="D232" s="7">
        <v>525</v>
      </c>
      <c r="E232" s="31">
        <v>133103</v>
      </c>
      <c r="F232" s="29"/>
      <c r="G232" s="32">
        <v>45239</v>
      </c>
      <c r="H232" s="29"/>
      <c r="I232" s="5" t="s">
        <v>15</v>
      </c>
      <c r="J232" s="5" t="s">
        <v>30</v>
      </c>
      <c r="K232" s="5"/>
    </row>
    <row r="233" spans="1:11" ht="18.75" customHeight="1" x14ac:dyDescent="0.3">
      <c r="A233" s="30">
        <v>251</v>
      </c>
      <c r="B233" s="29"/>
      <c r="C233" s="5" t="s">
        <v>40</v>
      </c>
      <c r="D233" s="7">
        <v>405</v>
      </c>
      <c r="E233" s="31">
        <v>133603</v>
      </c>
      <c r="F233" s="29"/>
      <c r="G233" s="32">
        <v>45239</v>
      </c>
      <c r="H233" s="29"/>
      <c r="I233" s="5" t="s">
        <v>15</v>
      </c>
      <c r="J233" s="5" t="s">
        <v>30</v>
      </c>
      <c r="K233" s="5"/>
    </row>
    <row r="234" spans="1:11" ht="18.75" customHeight="1" x14ac:dyDescent="0.3">
      <c r="A234" s="30">
        <v>252</v>
      </c>
      <c r="B234" s="29"/>
      <c r="C234" s="5" t="s">
        <v>14</v>
      </c>
      <c r="D234" s="7">
        <v>213</v>
      </c>
      <c r="E234" s="31">
        <v>18059</v>
      </c>
      <c r="F234" s="29"/>
      <c r="G234" s="32">
        <v>45236</v>
      </c>
      <c r="H234" s="29"/>
      <c r="I234" s="5" t="s">
        <v>69</v>
      </c>
      <c r="J234" s="5" t="s">
        <v>76</v>
      </c>
      <c r="K234" s="5" t="s">
        <v>52</v>
      </c>
    </row>
    <row r="235" spans="1:11" ht="18.75" customHeight="1" x14ac:dyDescent="0.3">
      <c r="A235" s="30">
        <v>253</v>
      </c>
      <c r="B235" s="29"/>
      <c r="C235" s="5" t="s">
        <v>14</v>
      </c>
      <c r="D235" s="7">
        <v>171</v>
      </c>
      <c r="E235" s="31">
        <v>18072</v>
      </c>
      <c r="F235" s="29"/>
      <c r="G235" s="32">
        <v>45237</v>
      </c>
      <c r="H235" s="29"/>
      <c r="I235" s="5" t="s">
        <v>69</v>
      </c>
      <c r="J235" s="5" t="s">
        <v>76</v>
      </c>
      <c r="K235" s="5" t="s">
        <v>52</v>
      </c>
    </row>
    <row r="236" spans="1:11" ht="18.75" customHeight="1" x14ac:dyDescent="0.3">
      <c r="A236" s="30">
        <v>254</v>
      </c>
      <c r="B236" s="29"/>
      <c r="C236" s="5" t="s">
        <v>14</v>
      </c>
      <c r="D236" s="7">
        <v>116</v>
      </c>
      <c r="E236" s="31">
        <v>18107</v>
      </c>
      <c r="F236" s="29"/>
      <c r="G236" s="32">
        <v>45238</v>
      </c>
      <c r="H236" s="29"/>
      <c r="I236" s="5" t="s">
        <v>69</v>
      </c>
      <c r="J236" s="5" t="s">
        <v>76</v>
      </c>
      <c r="K236" s="5" t="s">
        <v>52</v>
      </c>
    </row>
    <row r="237" spans="1:11" ht="18.75" customHeight="1" x14ac:dyDescent="0.3">
      <c r="A237" s="30">
        <v>255</v>
      </c>
      <c r="B237" s="29"/>
      <c r="C237" s="5" t="s">
        <v>14</v>
      </c>
      <c r="D237" s="7">
        <v>176</v>
      </c>
      <c r="E237" s="31">
        <v>18116</v>
      </c>
      <c r="F237" s="29"/>
      <c r="G237" s="32">
        <v>45239</v>
      </c>
      <c r="H237" s="29"/>
      <c r="I237" s="5" t="s">
        <v>69</v>
      </c>
      <c r="J237" s="5" t="s">
        <v>76</v>
      </c>
      <c r="K237" s="5" t="s">
        <v>52</v>
      </c>
    </row>
    <row r="238" spans="1:11" ht="18.75" customHeight="1" x14ac:dyDescent="0.3">
      <c r="A238" s="30">
        <v>256</v>
      </c>
      <c r="B238" s="29"/>
      <c r="C238" s="5" t="s">
        <v>14</v>
      </c>
      <c r="D238" s="7">
        <v>122</v>
      </c>
      <c r="E238" s="31">
        <v>104860</v>
      </c>
      <c r="F238" s="29"/>
      <c r="G238" s="32">
        <v>45240</v>
      </c>
      <c r="H238" s="29"/>
      <c r="I238" s="5" t="s">
        <v>69</v>
      </c>
      <c r="J238" s="5" t="s">
        <v>76</v>
      </c>
      <c r="K238" s="5" t="s">
        <v>52</v>
      </c>
    </row>
    <row r="239" spans="1:11" ht="18.75" customHeight="1" x14ac:dyDescent="0.3">
      <c r="A239" s="30">
        <v>257</v>
      </c>
      <c r="B239" s="29"/>
      <c r="C239" s="5" t="s">
        <v>14</v>
      </c>
      <c r="D239" s="7">
        <v>187</v>
      </c>
      <c r="E239" s="31">
        <v>18142</v>
      </c>
      <c r="F239" s="29"/>
      <c r="G239" s="32">
        <v>45241</v>
      </c>
      <c r="H239" s="29"/>
      <c r="I239" s="5" t="s">
        <v>69</v>
      </c>
      <c r="J239" s="5" t="s">
        <v>76</v>
      </c>
      <c r="K239" s="5" t="s">
        <v>52</v>
      </c>
    </row>
    <row r="240" spans="1:11" ht="18.75" customHeight="1" x14ac:dyDescent="0.3">
      <c r="A240" s="30">
        <v>258</v>
      </c>
      <c r="B240" s="29"/>
      <c r="C240" s="5" t="s">
        <v>14</v>
      </c>
      <c r="D240" s="7">
        <v>117</v>
      </c>
      <c r="E240" s="31">
        <v>18135</v>
      </c>
      <c r="F240" s="29"/>
      <c r="G240" s="32">
        <v>45242</v>
      </c>
      <c r="H240" s="29"/>
      <c r="I240" s="5" t="s">
        <v>69</v>
      </c>
      <c r="J240" s="5" t="s">
        <v>76</v>
      </c>
      <c r="K240" s="5" t="s">
        <v>52</v>
      </c>
    </row>
    <row r="241" spans="1:11" ht="18.75" customHeight="1" x14ac:dyDescent="0.3">
      <c r="A241" s="30">
        <v>259</v>
      </c>
      <c r="B241" s="29"/>
      <c r="C241" s="5" t="s">
        <v>14</v>
      </c>
      <c r="D241" s="7">
        <v>193</v>
      </c>
      <c r="E241" s="31">
        <v>18080</v>
      </c>
      <c r="F241" s="29"/>
      <c r="G241" s="32">
        <v>45243</v>
      </c>
      <c r="H241" s="29"/>
      <c r="I241" s="5" t="s">
        <v>69</v>
      </c>
      <c r="J241" s="5" t="s">
        <v>76</v>
      </c>
      <c r="K241" s="5" t="s">
        <v>52</v>
      </c>
    </row>
    <row r="242" spans="1:11" ht="18.75" customHeight="1" x14ac:dyDescent="0.3">
      <c r="A242" s="30">
        <v>260</v>
      </c>
      <c r="B242" s="29"/>
      <c r="C242" s="5" t="s">
        <v>14</v>
      </c>
      <c r="D242" s="7">
        <v>179</v>
      </c>
      <c r="E242" s="31">
        <v>18089</v>
      </c>
      <c r="F242" s="29"/>
      <c r="G242" s="32">
        <v>45244</v>
      </c>
      <c r="H242" s="29"/>
      <c r="I242" s="5" t="s">
        <v>69</v>
      </c>
      <c r="J242" s="5" t="s">
        <v>76</v>
      </c>
      <c r="K242" s="5" t="s">
        <v>52</v>
      </c>
    </row>
    <row r="243" spans="1:11" ht="18.75" customHeight="1" x14ac:dyDescent="0.3">
      <c r="A243" s="30">
        <v>261</v>
      </c>
      <c r="B243" s="29"/>
      <c r="C243" s="5" t="s">
        <v>14</v>
      </c>
      <c r="D243" s="7">
        <v>215</v>
      </c>
      <c r="E243" s="31">
        <v>18095</v>
      </c>
      <c r="F243" s="29"/>
      <c r="G243" s="32">
        <v>45245</v>
      </c>
      <c r="H243" s="29"/>
      <c r="I243" s="5" t="s">
        <v>69</v>
      </c>
      <c r="J243" s="5" t="s">
        <v>76</v>
      </c>
      <c r="K243" s="5" t="s">
        <v>52</v>
      </c>
    </row>
    <row r="244" spans="1:11" ht="18.75" customHeight="1" x14ac:dyDescent="0.3">
      <c r="A244" s="30">
        <v>262</v>
      </c>
      <c r="B244" s="29"/>
      <c r="C244" s="5" t="s">
        <v>14</v>
      </c>
      <c r="D244" s="7">
        <v>125</v>
      </c>
      <c r="E244" s="31">
        <v>18153</v>
      </c>
      <c r="F244" s="29"/>
      <c r="G244" s="32">
        <v>45246</v>
      </c>
      <c r="H244" s="29"/>
      <c r="I244" s="5" t="s">
        <v>69</v>
      </c>
      <c r="J244" s="5" t="s">
        <v>76</v>
      </c>
      <c r="K244" s="5" t="s">
        <v>52</v>
      </c>
    </row>
    <row r="245" spans="1:11" ht="18.75" customHeight="1" x14ac:dyDescent="0.3">
      <c r="A245" s="30">
        <v>263</v>
      </c>
      <c r="B245" s="29"/>
      <c r="C245" s="5" t="s">
        <v>14</v>
      </c>
      <c r="D245" s="7">
        <v>133</v>
      </c>
      <c r="E245" s="31">
        <v>18159</v>
      </c>
      <c r="F245" s="29"/>
      <c r="G245" s="32">
        <v>45247</v>
      </c>
      <c r="H245" s="29"/>
      <c r="I245" s="5" t="s">
        <v>69</v>
      </c>
      <c r="J245" s="5" t="s">
        <v>76</v>
      </c>
      <c r="K245" s="5" t="s">
        <v>52</v>
      </c>
    </row>
    <row r="246" spans="1:11" ht="18.75" customHeight="1" x14ac:dyDescent="0.3">
      <c r="A246" s="30">
        <v>264</v>
      </c>
      <c r="B246" s="29"/>
      <c r="C246" s="5" t="s">
        <v>14</v>
      </c>
      <c r="D246" s="7">
        <v>113</v>
      </c>
      <c r="E246" s="31">
        <v>18171</v>
      </c>
      <c r="F246" s="29"/>
      <c r="G246" s="32">
        <v>45248</v>
      </c>
      <c r="H246" s="29"/>
      <c r="I246" s="5" t="s">
        <v>69</v>
      </c>
      <c r="J246" s="5" t="s">
        <v>76</v>
      </c>
      <c r="K246" s="5" t="s">
        <v>52</v>
      </c>
    </row>
    <row r="247" spans="1:11" ht="18.75" customHeight="1" x14ac:dyDescent="0.3">
      <c r="A247" s="30">
        <v>265</v>
      </c>
      <c r="B247" s="29"/>
      <c r="C247" s="5" t="s">
        <v>14</v>
      </c>
      <c r="D247" s="7">
        <v>73</v>
      </c>
      <c r="E247" s="31">
        <v>18178</v>
      </c>
      <c r="F247" s="29"/>
      <c r="G247" s="32">
        <v>45249</v>
      </c>
      <c r="H247" s="29"/>
      <c r="I247" s="5" t="s">
        <v>69</v>
      </c>
      <c r="J247" s="5" t="s">
        <v>76</v>
      </c>
      <c r="K247" s="5" t="s">
        <v>52</v>
      </c>
    </row>
    <row r="248" spans="1:11" ht="18.75" customHeight="1" x14ac:dyDescent="0.3">
      <c r="A248" s="30">
        <v>266</v>
      </c>
      <c r="B248" s="29"/>
      <c r="C248" s="5" t="s">
        <v>40</v>
      </c>
      <c r="D248" s="7">
        <v>482</v>
      </c>
      <c r="E248" s="31">
        <v>133111</v>
      </c>
      <c r="F248" s="29"/>
      <c r="G248" s="32">
        <v>45243</v>
      </c>
      <c r="H248" s="29"/>
      <c r="I248" s="5" t="s">
        <v>15</v>
      </c>
      <c r="J248" s="5" t="s">
        <v>30</v>
      </c>
      <c r="K248" s="5"/>
    </row>
    <row r="249" spans="1:11" ht="18.75" customHeight="1" x14ac:dyDescent="0.3">
      <c r="A249" s="30">
        <v>267</v>
      </c>
      <c r="B249" s="29"/>
      <c r="C249" s="5" t="s">
        <v>40</v>
      </c>
      <c r="D249" s="7">
        <v>392</v>
      </c>
      <c r="E249" s="31">
        <v>133608</v>
      </c>
      <c r="F249" s="29"/>
      <c r="G249" s="32">
        <v>45243</v>
      </c>
      <c r="H249" s="29"/>
      <c r="I249" s="5" t="s">
        <v>15</v>
      </c>
      <c r="J249" s="5" t="s">
        <v>30</v>
      </c>
      <c r="K249" s="5"/>
    </row>
    <row r="250" spans="1:11" ht="18.75" customHeight="1" x14ac:dyDescent="0.3">
      <c r="A250" s="30">
        <v>268</v>
      </c>
      <c r="B250" s="29"/>
      <c r="C250" s="5" t="s">
        <v>40</v>
      </c>
      <c r="D250" s="7">
        <v>350</v>
      </c>
      <c r="E250" s="31">
        <v>92679</v>
      </c>
      <c r="F250" s="29"/>
      <c r="G250" s="32">
        <v>45244</v>
      </c>
      <c r="H250" s="29"/>
      <c r="I250" s="5" t="s">
        <v>15</v>
      </c>
      <c r="J250" s="5" t="s">
        <v>30</v>
      </c>
      <c r="K250" s="5"/>
    </row>
    <row r="251" spans="1:11" ht="18.75" customHeight="1" x14ac:dyDescent="0.3">
      <c r="A251" s="30">
        <v>269</v>
      </c>
      <c r="B251" s="29"/>
      <c r="C251" s="5" t="s">
        <v>40</v>
      </c>
      <c r="D251" s="7">
        <v>490</v>
      </c>
      <c r="E251" s="31">
        <v>133122</v>
      </c>
      <c r="F251" s="29"/>
      <c r="G251" s="32">
        <v>45245</v>
      </c>
      <c r="H251" s="29"/>
      <c r="I251" s="5" t="s">
        <v>15</v>
      </c>
      <c r="J251" s="5" t="s">
        <v>30</v>
      </c>
      <c r="K251" s="5"/>
    </row>
    <row r="252" spans="1:11" ht="18.75" customHeight="1" x14ac:dyDescent="0.3">
      <c r="A252" s="30">
        <v>270</v>
      </c>
      <c r="B252" s="29"/>
      <c r="C252" s="5" t="s">
        <v>40</v>
      </c>
      <c r="D252" s="7">
        <v>478</v>
      </c>
      <c r="E252" s="31">
        <v>133128</v>
      </c>
      <c r="F252" s="29"/>
      <c r="G252" s="32">
        <v>45246</v>
      </c>
      <c r="H252" s="29"/>
      <c r="I252" s="5" t="s">
        <v>15</v>
      </c>
      <c r="J252" s="5" t="s">
        <v>30</v>
      </c>
      <c r="K252" s="5"/>
    </row>
    <row r="253" spans="1:11" ht="18.75" customHeight="1" x14ac:dyDescent="0.3">
      <c r="A253" s="30">
        <v>271</v>
      </c>
      <c r="B253" s="29"/>
      <c r="C253" s="5" t="s">
        <v>40</v>
      </c>
      <c r="D253" s="7">
        <v>292</v>
      </c>
      <c r="E253" s="31">
        <v>133634</v>
      </c>
      <c r="F253" s="29"/>
      <c r="G253" s="32">
        <v>45247</v>
      </c>
      <c r="H253" s="29"/>
      <c r="I253" s="5" t="s">
        <v>15</v>
      </c>
      <c r="J253" s="5" t="s">
        <v>30</v>
      </c>
      <c r="K253" s="5"/>
    </row>
    <row r="254" spans="1:11" ht="18.75" customHeight="1" x14ac:dyDescent="0.3">
      <c r="A254" s="30">
        <v>272</v>
      </c>
      <c r="B254" s="29"/>
      <c r="C254" s="5" t="s">
        <v>40</v>
      </c>
      <c r="D254" s="7">
        <v>338</v>
      </c>
      <c r="E254" s="31">
        <v>93171</v>
      </c>
      <c r="F254" s="29"/>
      <c r="G254" s="32">
        <v>45248</v>
      </c>
      <c r="H254" s="29"/>
      <c r="I254" s="5" t="s">
        <v>15</v>
      </c>
      <c r="J254" s="5" t="s">
        <v>30</v>
      </c>
      <c r="K254" s="5"/>
    </row>
    <row r="255" spans="1:11" ht="18.75" customHeight="1" x14ac:dyDescent="0.3">
      <c r="A255" s="30">
        <v>273</v>
      </c>
      <c r="B255" s="29"/>
      <c r="C255" s="5" t="s">
        <v>14</v>
      </c>
      <c r="D255" s="7">
        <v>147</v>
      </c>
      <c r="E255" s="31">
        <v>18184</v>
      </c>
      <c r="F255" s="29"/>
      <c r="G255" s="32">
        <v>45250</v>
      </c>
      <c r="H255" s="29"/>
      <c r="I255" s="5" t="s">
        <v>69</v>
      </c>
      <c r="J255" s="5" t="s">
        <v>76</v>
      </c>
      <c r="K255" s="5" t="s">
        <v>52</v>
      </c>
    </row>
    <row r="256" spans="1:11" ht="18.75" customHeight="1" x14ac:dyDescent="0.3">
      <c r="A256" s="30">
        <v>274</v>
      </c>
      <c r="B256" s="29"/>
      <c r="C256" s="5" t="s">
        <v>14</v>
      </c>
      <c r="D256" s="7">
        <v>206</v>
      </c>
      <c r="E256" s="31">
        <v>97086</v>
      </c>
      <c r="F256" s="29"/>
      <c r="G256" s="32">
        <v>45251</v>
      </c>
      <c r="H256" s="29"/>
      <c r="I256" s="5" t="s">
        <v>69</v>
      </c>
      <c r="J256" s="5" t="s">
        <v>76</v>
      </c>
      <c r="K256" s="5" t="s">
        <v>52</v>
      </c>
    </row>
    <row r="257" spans="1:11" ht="18.75" customHeight="1" x14ac:dyDescent="0.3">
      <c r="A257" s="30">
        <v>275</v>
      </c>
      <c r="B257" s="29"/>
      <c r="C257" s="5" t="s">
        <v>14</v>
      </c>
      <c r="D257" s="7">
        <v>158</v>
      </c>
      <c r="E257" s="31">
        <v>18205</v>
      </c>
      <c r="F257" s="29"/>
      <c r="G257" s="32">
        <v>45252</v>
      </c>
      <c r="H257" s="29"/>
      <c r="I257" s="5" t="s">
        <v>69</v>
      </c>
      <c r="J257" s="5" t="s">
        <v>76</v>
      </c>
      <c r="K257" s="5" t="s">
        <v>52</v>
      </c>
    </row>
    <row r="258" spans="1:11" ht="18.75" customHeight="1" x14ac:dyDescent="0.3">
      <c r="A258" s="30">
        <v>276</v>
      </c>
      <c r="B258" s="29"/>
      <c r="C258" s="5" t="s">
        <v>14</v>
      </c>
      <c r="D258" s="7">
        <v>118</v>
      </c>
      <c r="E258" s="31">
        <v>18212</v>
      </c>
      <c r="F258" s="29"/>
      <c r="G258" s="32">
        <v>45253</v>
      </c>
      <c r="H258" s="29"/>
      <c r="I258" s="5" t="s">
        <v>69</v>
      </c>
      <c r="J258" s="5" t="s">
        <v>76</v>
      </c>
      <c r="K258" s="5" t="s">
        <v>52</v>
      </c>
    </row>
    <row r="259" spans="1:11" ht="18.75" customHeight="1" x14ac:dyDescent="0.3">
      <c r="A259" s="30">
        <v>277</v>
      </c>
      <c r="B259" s="29"/>
      <c r="C259" s="5" t="s">
        <v>14</v>
      </c>
      <c r="D259" s="7">
        <v>168</v>
      </c>
      <c r="E259" s="31">
        <v>18221</v>
      </c>
      <c r="F259" s="29"/>
      <c r="G259" s="32">
        <v>45254</v>
      </c>
      <c r="H259" s="29"/>
      <c r="I259" s="5" t="s">
        <v>69</v>
      </c>
      <c r="J259" s="5" t="s">
        <v>76</v>
      </c>
      <c r="K259" s="5" t="s">
        <v>52</v>
      </c>
    </row>
    <row r="260" spans="1:11" ht="18.75" customHeight="1" x14ac:dyDescent="0.3">
      <c r="A260" s="30">
        <v>278</v>
      </c>
      <c r="B260" s="29"/>
      <c r="C260" s="5" t="s">
        <v>14</v>
      </c>
      <c r="D260" s="7">
        <v>92</v>
      </c>
      <c r="E260" s="31">
        <v>18232</v>
      </c>
      <c r="F260" s="29"/>
      <c r="G260" s="32">
        <v>45255</v>
      </c>
      <c r="H260" s="29"/>
      <c r="I260" s="5" t="s">
        <v>69</v>
      </c>
      <c r="J260" s="5" t="s">
        <v>76</v>
      </c>
      <c r="K260" s="5" t="s">
        <v>52</v>
      </c>
    </row>
    <row r="261" spans="1:11" ht="18.75" customHeight="1" x14ac:dyDescent="0.3">
      <c r="A261" s="30">
        <v>279</v>
      </c>
      <c r="B261" s="29"/>
      <c r="C261" s="5" t="s">
        <v>14</v>
      </c>
      <c r="D261" s="7">
        <v>99</v>
      </c>
      <c r="E261" s="31">
        <v>18237</v>
      </c>
      <c r="F261" s="29"/>
      <c r="G261" s="32">
        <v>45256</v>
      </c>
      <c r="H261" s="29"/>
      <c r="I261" s="5" t="s">
        <v>69</v>
      </c>
      <c r="J261" s="5" t="s">
        <v>76</v>
      </c>
      <c r="K261" s="5" t="s">
        <v>52</v>
      </c>
    </row>
    <row r="262" spans="1:11" ht="18.75" customHeight="1" x14ac:dyDescent="0.3">
      <c r="A262" s="30">
        <v>280</v>
      </c>
      <c r="B262" s="29"/>
      <c r="C262" s="5" t="s">
        <v>40</v>
      </c>
      <c r="D262" s="7">
        <v>395</v>
      </c>
      <c r="E262" s="31">
        <v>92690</v>
      </c>
      <c r="F262" s="29"/>
      <c r="G262" s="32">
        <v>45250</v>
      </c>
      <c r="H262" s="29"/>
      <c r="I262" s="5" t="s">
        <v>15</v>
      </c>
      <c r="J262" s="5" t="s">
        <v>30</v>
      </c>
      <c r="K262" s="5"/>
    </row>
    <row r="263" spans="1:11" ht="18.75" customHeight="1" x14ac:dyDescent="0.3">
      <c r="A263" s="30">
        <v>281</v>
      </c>
      <c r="B263" s="29"/>
      <c r="C263" s="5" t="s">
        <v>40</v>
      </c>
      <c r="D263" s="7">
        <v>400</v>
      </c>
      <c r="E263" s="31">
        <v>93177</v>
      </c>
      <c r="F263" s="29"/>
      <c r="G263" s="32">
        <v>45250</v>
      </c>
      <c r="H263" s="29"/>
      <c r="I263" s="5" t="s">
        <v>15</v>
      </c>
      <c r="J263" s="5" t="s">
        <v>30</v>
      </c>
      <c r="K263" s="5"/>
    </row>
    <row r="264" spans="1:11" ht="18.75" customHeight="1" x14ac:dyDescent="0.3">
      <c r="A264" s="30">
        <v>282</v>
      </c>
      <c r="B264" s="29"/>
      <c r="C264" s="5" t="s">
        <v>40</v>
      </c>
      <c r="D264" s="7">
        <v>340</v>
      </c>
      <c r="E264" s="31">
        <v>92692</v>
      </c>
      <c r="F264" s="29"/>
      <c r="G264" s="32">
        <v>45251</v>
      </c>
      <c r="H264" s="29"/>
      <c r="I264" s="5" t="s">
        <v>15</v>
      </c>
      <c r="J264" s="5" t="s">
        <v>30</v>
      </c>
      <c r="K264" s="5"/>
    </row>
    <row r="265" spans="1:11" ht="18.75" customHeight="1" x14ac:dyDescent="0.3">
      <c r="A265" s="30">
        <v>283</v>
      </c>
      <c r="B265" s="29"/>
      <c r="C265" s="5" t="s">
        <v>40</v>
      </c>
      <c r="D265" s="7">
        <v>302</v>
      </c>
      <c r="E265" s="31">
        <v>133060</v>
      </c>
      <c r="F265" s="29"/>
      <c r="G265" s="32">
        <v>45252</v>
      </c>
      <c r="H265" s="29"/>
      <c r="I265" s="5" t="s">
        <v>15</v>
      </c>
      <c r="J265" s="5" t="s">
        <v>30</v>
      </c>
      <c r="K265" s="5"/>
    </row>
    <row r="266" spans="1:11" ht="18.75" customHeight="1" x14ac:dyDescent="0.3">
      <c r="A266" s="30">
        <v>284</v>
      </c>
      <c r="B266" s="29"/>
      <c r="C266" s="5" t="s">
        <v>40</v>
      </c>
      <c r="D266" s="7">
        <v>444</v>
      </c>
      <c r="E266" s="31">
        <v>133063</v>
      </c>
      <c r="F266" s="29"/>
      <c r="G266" s="32">
        <v>45253</v>
      </c>
      <c r="H266" s="29"/>
      <c r="I266" s="5" t="s">
        <v>15</v>
      </c>
      <c r="J266" s="5" t="s">
        <v>30</v>
      </c>
      <c r="K266" s="5"/>
    </row>
    <row r="267" spans="1:11" ht="18.75" customHeight="1" x14ac:dyDescent="0.3">
      <c r="A267" s="30">
        <v>285</v>
      </c>
      <c r="B267" s="29"/>
      <c r="C267" s="5" t="s">
        <v>40</v>
      </c>
      <c r="D267" s="7">
        <v>448</v>
      </c>
      <c r="E267" s="31">
        <v>133662</v>
      </c>
      <c r="F267" s="29"/>
      <c r="G267" s="32">
        <v>45253</v>
      </c>
      <c r="H267" s="29"/>
      <c r="I267" s="5" t="s">
        <v>15</v>
      </c>
      <c r="J267" s="5" t="s">
        <v>30</v>
      </c>
      <c r="K267" s="5"/>
    </row>
    <row r="268" spans="1:11" ht="18.75" customHeight="1" x14ac:dyDescent="0.3">
      <c r="A268" s="30">
        <v>286</v>
      </c>
      <c r="B268" s="29"/>
      <c r="C268" s="5" t="s">
        <v>40</v>
      </c>
      <c r="D268" s="7">
        <v>516</v>
      </c>
      <c r="E268" s="31">
        <v>133071</v>
      </c>
      <c r="F268" s="29"/>
      <c r="G268" s="32">
        <v>45254</v>
      </c>
      <c r="H268" s="29"/>
      <c r="I268" s="5" t="s">
        <v>15</v>
      </c>
      <c r="J268" s="5" t="s">
        <v>30</v>
      </c>
      <c r="K268" s="5"/>
    </row>
    <row r="269" spans="1:11" ht="18.75" customHeight="1" x14ac:dyDescent="0.3">
      <c r="A269" s="30">
        <v>287</v>
      </c>
      <c r="B269" s="29"/>
      <c r="C269" s="5" t="s">
        <v>40</v>
      </c>
      <c r="D269" s="7">
        <v>490</v>
      </c>
      <c r="E269" s="31">
        <v>93181</v>
      </c>
      <c r="F269" s="29"/>
      <c r="G269" s="32">
        <v>45254</v>
      </c>
      <c r="H269" s="29"/>
      <c r="I269" s="5" t="s">
        <v>15</v>
      </c>
      <c r="J269" s="5" t="s">
        <v>30</v>
      </c>
      <c r="K269" s="5"/>
    </row>
    <row r="270" spans="1:11" ht="18.75" customHeight="1" x14ac:dyDescent="0.3">
      <c r="A270" s="30">
        <v>288</v>
      </c>
      <c r="B270" s="29"/>
      <c r="C270" s="5" t="s">
        <v>40</v>
      </c>
      <c r="D270" s="7">
        <v>482</v>
      </c>
      <c r="E270" s="31">
        <v>131209</v>
      </c>
      <c r="F270" s="29"/>
      <c r="G270" s="32">
        <v>45255</v>
      </c>
      <c r="H270" s="29"/>
      <c r="I270" s="5" t="s">
        <v>15</v>
      </c>
      <c r="J270" s="5" t="s">
        <v>30</v>
      </c>
      <c r="K270" s="5"/>
    </row>
    <row r="271" spans="1:11" ht="18.75" customHeight="1" x14ac:dyDescent="0.3">
      <c r="A271" s="30">
        <v>289</v>
      </c>
      <c r="B271" s="29"/>
      <c r="C271" s="5" t="s">
        <v>40</v>
      </c>
      <c r="D271" s="7">
        <v>414</v>
      </c>
      <c r="E271" s="31">
        <v>93186</v>
      </c>
      <c r="F271" s="29"/>
      <c r="G271" s="32">
        <v>45255</v>
      </c>
      <c r="H271" s="29"/>
      <c r="I271" s="5" t="s">
        <v>15</v>
      </c>
      <c r="J271" s="5" t="s">
        <v>30</v>
      </c>
      <c r="K271" s="5"/>
    </row>
    <row r="272" spans="1:11" ht="18.75" customHeight="1" x14ac:dyDescent="0.3">
      <c r="A272" s="30">
        <v>290</v>
      </c>
      <c r="B272" s="29"/>
      <c r="C272" s="5" t="s">
        <v>14</v>
      </c>
      <c r="D272" s="7">
        <v>193</v>
      </c>
      <c r="E272" s="31">
        <v>18246</v>
      </c>
      <c r="F272" s="29"/>
      <c r="G272" s="32">
        <v>45257</v>
      </c>
      <c r="H272" s="29"/>
      <c r="I272" s="5" t="s">
        <v>69</v>
      </c>
      <c r="J272" s="5" t="s">
        <v>76</v>
      </c>
      <c r="K272" s="5" t="s">
        <v>52</v>
      </c>
    </row>
    <row r="273" spans="1:11" ht="18.75" customHeight="1" x14ac:dyDescent="0.3">
      <c r="A273" s="30">
        <v>291</v>
      </c>
      <c r="B273" s="29"/>
      <c r="C273" s="5" t="s">
        <v>14</v>
      </c>
      <c r="D273" s="7">
        <v>129</v>
      </c>
      <c r="E273" s="31">
        <v>97250</v>
      </c>
      <c r="F273" s="29"/>
      <c r="G273" s="32">
        <v>45258</v>
      </c>
      <c r="H273" s="29"/>
      <c r="I273" s="5" t="s">
        <v>69</v>
      </c>
      <c r="J273" s="5" t="s">
        <v>76</v>
      </c>
      <c r="K273" s="5" t="s">
        <v>52</v>
      </c>
    </row>
    <row r="274" spans="1:11" ht="18.75" customHeight="1" x14ac:dyDescent="0.3">
      <c r="A274" s="30">
        <v>292</v>
      </c>
      <c r="B274" s="29"/>
      <c r="C274" s="5" t="s">
        <v>14</v>
      </c>
      <c r="D274" s="7">
        <v>130</v>
      </c>
      <c r="E274" s="31">
        <v>18270</v>
      </c>
      <c r="F274" s="29"/>
      <c r="G274" s="32">
        <v>45259</v>
      </c>
      <c r="H274" s="29"/>
      <c r="I274" s="5" t="s">
        <v>69</v>
      </c>
      <c r="J274" s="5" t="s">
        <v>76</v>
      </c>
      <c r="K274" s="5" t="s">
        <v>52</v>
      </c>
    </row>
    <row r="275" spans="1:11" ht="18.75" customHeight="1" x14ac:dyDescent="0.3">
      <c r="A275" s="30">
        <v>293</v>
      </c>
      <c r="B275" s="29"/>
      <c r="C275" s="5" t="s">
        <v>14</v>
      </c>
      <c r="D275" s="7">
        <v>218</v>
      </c>
      <c r="E275" s="31">
        <v>18277</v>
      </c>
      <c r="F275" s="29"/>
      <c r="G275" s="32">
        <v>45260</v>
      </c>
      <c r="H275" s="29"/>
      <c r="I275" s="5" t="s">
        <v>69</v>
      </c>
      <c r="J275" s="5" t="s">
        <v>76</v>
      </c>
      <c r="K275" s="5" t="s">
        <v>52</v>
      </c>
    </row>
    <row r="276" spans="1:11" ht="18.75" customHeight="1" x14ac:dyDescent="0.3">
      <c r="A276" s="30">
        <v>294</v>
      </c>
      <c r="B276" s="29"/>
      <c r="C276" s="5" t="s">
        <v>14</v>
      </c>
      <c r="D276" s="7">
        <v>111</v>
      </c>
      <c r="E276" s="31">
        <v>18286</v>
      </c>
      <c r="F276" s="29"/>
      <c r="G276" s="32">
        <v>45261</v>
      </c>
      <c r="H276" s="29"/>
      <c r="I276" s="5" t="s">
        <v>69</v>
      </c>
      <c r="J276" s="5" t="s">
        <v>76</v>
      </c>
      <c r="K276" s="5" t="s">
        <v>52</v>
      </c>
    </row>
    <row r="277" spans="1:11" ht="18.75" customHeight="1" x14ac:dyDescent="0.3">
      <c r="A277" s="30">
        <v>295</v>
      </c>
      <c r="B277" s="29"/>
      <c r="C277" s="5" t="s">
        <v>14</v>
      </c>
      <c r="D277" s="7">
        <v>89</v>
      </c>
      <c r="E277" s="31">
        <v>97350</v>
      </c>
      <c r="F277" s="29"/>
      <c r="G277" s="32">
        <v>45261</v>
      </c>
      <c r="H277" s="29"/>
      <c r="I277" s="5" t="s">
        <v>69</v>
      </c>
      <c r="J277" s="5" t="s">
        <v>76</v>
      </c>
      <c r="K277" s="5" t="s">
        <v>52</v>
      </c>
    </row>
    <row r="278" spans="1:11" ht="18.75" customHeight="1" x14ac:dyDescent="0.3">
      <c r="A278" s="30">
        <v>296</v>
      </c>
      <c r="B278" s="29"/>
      <c r="C278" s="5" t="s">
        <v>14</v>
      </c>
      <c r="D278" s="7">
        <v>135</v>
      </c>
      <c r="E278" s="31">
        <v>97358</v>
      </c>
      <c r="F278" s="29"/>
      <c r="G278" s="32">
        <v>45262</v>
      </c>
      <c r="H278" s="29"/>
      <c r="I278" s="5" t="s">
        <v>69</v>
      </c>
      <c r="J278" s="5" t="s">
        <v>76</v>
      </c>
      <c r="K278" s="5" t="s">
        <v>52</v>
      </c>
    </row>
    <row r="279" spans="1:11" ht="18.75" customHeight="1" x14ac:dyDescent="0.3">
      <c r="A279" s="30">
        <v>297</v>
      </c>
      <c r="B279" s="29"/>
      <c r="C279" s="5" t="s">
        <v>14</v>
      </c>
      <c r="D279" s="7">
        <v>86</v>
      </c>
      <c r="E279" s="31">
        <v>18306</v>
      </c>
      <c r="F279" s="29"/>
      <c r="G279" s="32">
        <v>45263</v>
      </c>
      <c r="H279" s="29"/>
      <c r="I279" s="5" t="s">
        <v>69</v>
      </c>
      <c r="J279" s="5" t="s">
        <v>76</v>
      </c>
      <c r="K279" s="5" t="s">
        <v>52</v>
      </c>
    </row>
    <row r="280" spans="1:11" ht="18.75" customHeight="1" x14ac:dyDescent="0.3">
      <c r="A280" s="30">
        <v>298</v>
      </c>
      <c r="B280" s="29"/>
      <c r="C280" s="5" t="s">
        <v>40</v>
      </c>
      <c r="D280" s="7">
        <v>401</v>
      </c>
      <c r="E280" s="31">
        <v>92704</v>
      </c>
      <c r="F280" s="29"/>
      <c r="G280" s="32">
        <v>45258</v>
      </c>
      <c r="H280" s="29"/>
      <c r="I280" s="5" t="s">
        <v>15</v>
      </c>
      <c r="J280" s="5" t="s">
        <v>30</v>
      </c>
      <c r="K280" s="5"/>
    </row>
    <row r="281" spans="1:11" ht="18.75" customHeight="1" x14ac:dyDescent="0.3">
      <c r="A281" s="30">
        <v>299</v>
      </c>
      <c r="B281" s="29"/>
      <c r="C281" s="5" t="s">
        <v>40</v>
      </c>
      <c r="D281" s="7">
        <v>383</v>
      </c>
      <c r="E281" s="31">
        <v>92709</v>
      </c>
      <c r="F281" s="29"/>
      <c r="G281" s="32">
        <v>45258</v>
      </c>
      <c r="H281" s="29"/>
      <c r="I281" s="5" t="s">
        <v>15</v>
      </c>
      <c r="J281" s="5" t="s">
        <v>30</v>
      </c>
      <c r="K281" s="5"/>
    </row>
    <row r="282" spans="1:11" ht="18.75" customHeight="1" x14ac:dyDescent="0.3">
      <c r="A282" s="30">
        <v>300</v>
      </c>
      <c r="B282" s="29"/>
      <c r="C282" s="5" t="s">
        <v>40</v>
      </c>
      <c r="D282" s="7">
        <v>353</v>
      </c>
      <c r="E282" s="31">
        <v>131218</v>
      </c>
      <c r="F282" s="29"/>
      <c r="G282" s="32">
        <v>45259</v>
      </c>
      <c r="H282" s="29"/>
      <c r="I282" s="5" t="s">
        <v>15</v>
      </c>
      <c r="J282" s="5" t="s">
        <v>30</v>
      </c>
      <c r="K282" s="5"/>
    </row>
    <row r="283" spans="1:11" ht="18.75" customHeight="1" x14ac:dyDescent="0.3">
      <c r="A283" s="30">
        <v>301</v>
      </c>
      <c r="B283" s="29"/>
      <c r="C283" s="5" t="s">
        <v>40</v>
      </c>
      <c r="D283" s="7">
        <v>383</v>
      </c>
      <c r="E283" s="31">
        <v>92711</v>
      </c>
      <c r="F283" s="29"/>
      <c r="G283" s="32">
        <v>45259</v>
      </c>
      <c r="H283" s="29"/>
      <c r="I283" s="5" t="s">
        <v>15</v>
      </c>
      <c r="J283" s="5" t="s">
        <v>30</v>
      </c>
      <c r="K283" s="5"/>
    </row>
    <row r="284" spans="1:11" ht="18.75" customHeight="1" x14ac:dyDescent="0.3">
      <c r="A284" s="30">
        <v>302</v>
      </c>
      <c r="B284" s="29"/>
      <c r="C284" s="5" t="s">
        <v>40</v>
      </c>
      <c r="D284" s="7">
        <v>270</v>
      </c>
      <c r="E284" s="31">
        <v>131224</v>
      </c>
      <c r="F284" s="29"/>
      <c r="G284" s="32">
        <v>45260</v>
      </c>
      <c r="H284" s="29"/>
      <c r="I284" s="5" t="s">
        <v>15</v>
      </c>
      <c r="J284" s="5" t="s">
        <v>30</v>
      </c>
      <c r="K284" s="5"/>
    </row>
    <row r="285" spans="1:11" ht="18.75" customHeight="1" x14ac:dyDescent="0.3">
      <c r="A285" s="30">
        <v>303</v>
      </c>
      <c r="B285" s="29"/>
      <c r="C285" s="5" t="s">
        <v>40</v>
      </c>
      <c r="D285" s="7">
        <v>400</v>
      </c>
      <c r="E285" s="31">
        <v>92715</v>
      </c>
      <c r="F285" s="29"/>
      <c r="G285" s="32">
        <v>45260</v>
      </c>
      <c r="H285" s="29"/>
      <c r="I285" s="5" t="s">
        <v>15</v>
      </c>
      <c r="J285" s="5" t="s">
        <v>30</v>
      </c>
      <c r="K285" s="5"/>
    </row>
    <row r="286" spans="1:11" ht="18.75" customHeight="1" x14ac:dyDescent="0.3">
      <c r="A286" s="30">
        <v>304</v>
      </c>
      <c r="B286" s="29"/>
      <c r="C286" s="5" t="s">
        <v>40</v>
      </c>
      <c r="D286" s="7">
        <v>270</v>
      </c>
      <c r="E286" s="31">
        <v>131223</v>
      </c>
      <c r="F286" s="29"/>
      <c r="G286" s="32">
        <v>45261</v>
      </c>
      <c r="H286" s="29"/>
      <c r="I286" s="5" t="s">
        <v>15</v>
      </c>
      <c r="J286" s="5" t="s">
        <v>30</v>
      </c>
      <c r="K286" s="5"/>
    </row>
    <row r="287" spans="1:11" ht="18.75" customHeight="1" x14ac:dyDescent="0.3">
      <c r="A287" s="30">
        <v>305</v>
      </c>
      <c r="B287" s="29"/>
      <c r="C287" s="5" t="s">
        <v>40</v>
      </c>
      <c r="D287" s="7">
        <v>528</v>
      </c>
      <c r="E287" s="31">
        <v>133690</v>
      </c>
      <c r="F287" s="29"/>
      <c r="G287" s="32">
        <v>45261</v>
      </c>
      <c r="H287" s="29"/>
      <c r="I287" s="5" t="s">
        <v>15</v>
      </c>
      <c r="J287" s="5" t="s">
        <v>30</v>
      </c>
      <c r="K287" s="5"/>
    </row>
    <row r="288" spans="1:11" ht="18.75" customHeight="1" x14ac:dyDescent="0.3">
      <c r="A288" s="30">
        <v>306</v>
      </c>
      <c r="B288" s="29"/>
      <c r="C288" s="5" t="s">
        <v>40</v>
      </c>
      <c r="D288" s="7">
        <v>520</v>
      </c>
      <c r="E288" s="31">
        <v>131237</v>
      </c>
      <c r="F288" s="29"/>
      <c r="G288" s="32">
        <v>45262</v>
      </c>
      <c r="H288" s="29"/>
      <c r="I288" s="5" t="s">
        <v>15</v>
      </c>
      <c r="J288" s="5" t="s">
        <v>30</v>
      </c>
      <c r="K288" s="5"/>
    </row>
    <row r="289" spans="1:11" ht="18.75" customHeight="1" x14ac:dyDescent="0.3">
      <c r="A289" s="30">
        <v>307</v>
      </c>
      <c r="B289" s="29"/>
      <c r="C289" s="5" t="s">
        <v>40</v>
      </c>
      <c r="D289" s="7">
        <v>506</v>
      </c>
      <c r="E289" s="31">
        <v>133696</v>
      </c>
      <c r="F289" s="29"/>
      <c r="G289" s="32">
        <v>45262</v>
      </c>
      <c r="H289" s="29"/>
      <c r="I289" s="5" t="s">
        <v>15</v>
      </c>
      <c r="J289" s="5" t="s">
        <v>30</v>
      </c>
      <c r="K289" s="5"/>
    </row>
    <row r="290" spans="1:11" ht="18.75" customHeight="1" x14ac:dyDescent="0.3">
      <c r="A290" s="61">
        <v>308</v>
      </c>
      <c r="B290" s="29"/>
      <c r="C290" s="13" t="s">
        <v>40</v>
      </c>
      <c r="D290" s="14">
        <v>490</v>
      </c>
      <c r="E290" s="58">
        <v>133086</v>
      </c>
      <c r="F290" s="29"/>
      <c r="G290" s="60">
        <v>45264</v>
      </c>
      <c r="H290" s="29"/>
      <c r="I290" s="13" t="s">
        <v>15</v>
      </c>
      <c r="J290" s="13" t="s">
        <v>30</v>
      </c>
      <c r="K290" s="5"/>
    </row>
    <row r="291" spans="1:11" ht="18.75" customHeight="1" x14ac:dyDescent="0.3">
      <c r="A291" s="30">
        <v>309</v>
      </c>
      <c r="B291" s="29"/>
      <c r="C291" s="5" t="s">
        <v>40</v>
      </c>
      <c r="D291" s="7">
        <v>463</v>
      </c>
      <c r="E291" s="31">
        <v>133091</v>
      </c>
      <c r="F291" s="29"/>
      <c r="G291" s="32">
        <v>45265</v>
      </c>
      <c r="H291" s="29"/>
      <c r="I291" s="5" t="s">
        <v>15</v>
      </c>
      <c r="J291" s="5" t="s">
        <v>30</v>
      </c>
      <c r="K291" s="5"/>
    </row>
    <row r="292" spans="1:11" ht="18.75" customHeight="1" x14ac:dyDescent="0.3">
      <c r="A292" s="30">
        <v>310</v>
      </c>
      <c r="B292" s="29"/>
      <c r="C292" s="5" t="s">
        <v>40</v>
      </c>
      <c r="D292" s="7">
        <v>490</v>
      </c>
      <c r="E292" s="31">
        <v>92718</v>
      </c>
      <c r="F292" s="29"/>
      <c r="G292" s="32">
        <v>45265</v>
      </c>
      <c r="H292" s="29"/>
      <c r="I292" s="5" t="s">
        <v>15</v>
      </c>
      <c r="J292" s="5" t="s">
        <v>30</v>
      </c>
      <c r="K292" s="5"/>
    </row>
    <row r="293" spans="1:11" ht="18.75" customHeight="1" x14ac:dyDescent="0.3">
      <c r="A293" s="30">
        <v>311</v>
      </c>
      <c r="B293" s="29"/>
      <c r="C293" s="5" t="s">
        <v>40</v>
      </c>
      <c r="D293" s="7">
        <v>480</v>
      </c>
      <c r="E293" s="31">
        <v>131250</v>
      </c>
      <c r="F293" s="29"/>
      <c r="G293" s="32">
        <v>45266</v>
      </c>
      <c r="H293" s="29"/>
      <c r="I293" s="5" t="s">
        <v>15</v>
      </c>
      <c r="J293" s="5" t="s">
        <v>30</v>
      </c>
      <c r="K293" s="5"/>
    </row>
    <row r="294" spans="1:11" ht="18.75" customHeight="1" x14ac:dyDescent="0.3">
      <c r="A294" s="30">
        <v>312</v>
      </c>
      <c r="B294" s="29"/>
      <c r="C294" s="5" t="s">
        <v>40</v>
      </c>
      <c r="D294" s="7">
        <v>244</v>
      </c>
      <c r="E294" s="31">
        <v>133711</v>
      </c>
      <c r="F294" s="29"/>
      <c r="G294" s="32">
        <v>45266</v>
      </c>
      <c r="H294" s="29"/>
      <c r="I294" s="5" t="s">
        <v>15</v>
      </c>
      <c r="J294" s="5" t="s">
        <v>30</v>
      </c>
      <c r="K294" s="5"/>
    </row>
    <row r="295" spans="1:11" ht="18.75" customHeight="1" x14ac:dyDescent="0.3">
      <c r="A295" s="30">
        <v>313</v>
      </c>
      <c r="B295" s="29"/>
      <c r="C295" s="5" t="s">
        <v>40</v>
      </c>
      <c r="D295" s="7">
        <v>490</v>
      </c>
      <c r="E295" s="31">
        <v>133009</v>
      </c>
      <c r="F295" s="29"/>
      <c r="G295" s="32">
        <v>45267</v>
      </c>
      <c r="H295" s="29"/>
      <c r="I295" s="5" t="s">
        <v>15</v>
      </c>
      <c r="J295" s="5" t="s">
        <v>30</v>
      </c>
      <c r="K295" s="5"/>
    </row>
    <row r="296" spans="1:11" ht="18.75" customHeight="1" x14ac:dyDescent="0.3">
      <c r="A296" s="30">
        <v>314</v>
      </c>
      <c r="B296" s="29"/>
      <c r="C296" s="5" t="s">
        <v>40</v>
      </c>
      <c r="D296" s="7">
        <v>392</v>
      </c>
      <c r="E296" s="31">
        <v>133715</v>
      </c>
      <c r="F296" s="29"/>
      <c r="G296" s="32">
        <v>45267</v>
      </c>
      <c r="H296" s="29"/>
      <c r="I296" s="5" t="s">
        <v>15</v>
      </c>
      <c r="J296" s="5" t="s">
        <v>30</v>
      </c>
      <c r="K296" s="5"/>
    </row>
    <row r="297" spans="1:11" ht="18.75" customHeight="1" x14ac:dyDescent="0.3">
      <c r="A297" s="30">
        <v>315</v>
      </c>
      <c r="B297" s="29"/>
      <c r="C297" s="5" t="s">
        <v>40</v>
      </c>
      <c r="D297" s="7">
        <v>285</v>
      </c>
      <c r="E297" s="31">
        <v>133017</v>
      </c>
      <c r="F297" s="29"/>
      <c r="G297" s="32">
        <v>45268</v>
      </c>
      <c r="H297" s="29"/>
      <c r="I297" s="5" t="s">
        <v>15</v>
      </c>
      <c r="J297" s="5" t="s">
        <v>30</v>
      </c>
      <c r="K297" s="5"/>
    </row>
    <row r="298" spans="1:11" ht="18.75" customHeight="1" x14ac:dyDescent="0.3">
      <c r="A298" s="30">
        <v>316</v>
      </c>
      <c r="B298" s="29"/>
      <c r="C298" s="5" t="s">
        <v>40</v>
      </c>
      <c r="D298" s="7">
        <v>397</v>
      </c>
      <c r="E298" s="31">
        <v>133720</v>
      </c>
      <c r="F298" s="29"/>
      <c r="G298" s="32">
        <v>45269</v>
      </c>
      <c r="H298" s="29"/>
      <c r="I298" s="5" t="s">
        <v>15</v>
      </c>
      <c r="J298" s="5" t="s">
        <v>30</v>
      </c>
      <c r="K298" s="5"/>
    </row>
    <row r="299" spans="1:11" ht="18.75" customHeight="1" x14ac:dyDescent="0.3">
      <c r="A299" s="30">
        <v>317</v>
      </c>
      <c r="B299" s="29"/>
      <c r="C299" s="5" t="s">
        <v>40</v>
      </c>
      <c r="D299" s="7">
        <v>281</v>
      </c>
      <c r="E299" s="31">
        <v>105505</v>
      </c>
      <c r="F299" s="29"/>
      <c r="G299" s="32">
        <v>45267</v>
      </c>
      <c r="H299" s="29"/>
      <c r="I299" s="5" t="s">
        <v>69</v>
      </c>
      <c r="J299" s="5" t="s">
        <v>76</v>
      </c>
      <c r="K299" s="5" t="s">
        <v>52</v>
      </c>
    </row>
    <row r="300" spans="1:11" ht="18.75" customHeight="1" x14ac:dyDescent="0.3">
      <c r="A300" s="30">
        <v>318</v>
      </c>
      <c r="B300" s="29"/>
      <c r="C300" s="5" t="s">
        <v>14</v>
      </c>
      <c r="D300" s="7">
        <v>130</v>
      </c>
      <c r="E300" s="31">
        <v>18316</v>
      </c>
      <c r="F300" s="29"/>
      <c r="G300" s="32">
        <v>45264</v>
      </c>
      <c r="H300" s="29"/>
      <c r="I300" s="5" t="s">
        <v>69</v>
      </c>
      <c r="J300" s="5" t="s">
        <v>76</v>
      </c>
      <c r="K300" s="5" t="s">
        <v>52</v>
      </c>
    </row>
    <row r="301" spans="1:11" ht="18.75" customHeight="1" x14ac:dyDescent="0.3">
      <c r="A301" s="30">
        <v>319</v>
      </c>
      <c r="B301" s="29"/>
      <c r="C301" s="5" t="s">
        <v>14</v>
      </c>
      <c r="D301" s="7">
        <v>85</v>
      </c>
      <c r="E301" s="31">
        <v>18328</v>
      </c>
      <c r="F301" s="29"/>
      <c r="G301" s="32">
        <v>45265</v>
      </c>
      <c r="H301" s="29"/>
      <c r="I301" s="5" t="s">
        <v>69</v>
      </c>
      <c r="J301" s="5" t="s">
        <v>76</v>
      </c>
      <c r="K301" s="5" t="s">
        <v>52</v>
      </c>
    </row>
    <row r="302" spans="1:11" ht="18.75" customHeight="1" x14ac:dyDescent="0.3">
      <c r="A302" s="30">
        <v>320</v>
      </c>
      <c r="B302" s="29"/>
      <c r="C302" s="5" t="s">
        <v>14</v>
      </c>
      <c r="D302" s="7">
        <v>180</v>
      </c>
      <c r="E302" s="31">
        <v>103038</v>
      </c>
      <c r="F302" s="29"/>
      <c r="G302" s="32">
        <v>45265</v>
      </c>
      <c r="H302" s="29"/>
      <c r="I302" s="5" t="s">
        <v>69</v>
      </c>
      <c r="J302" s="5" t="s">
        <v>76</v>
      </c>
      <c r="K302" s="5" t="s">
        <v>52</v>
      </c>
    </row>
    <row r="303" spans="1:11" ht="18.75" customHeight="1" x14ac:dyDescent="0.3">
      <c r="A303" s="30">
        <v>321</v>
      </c>
      <c r="B303" s="29"/>
      <c r="C303" s="5" t="s">
        <v>14</v>
      </c>
      <c r="D303" s="7">
        <v>101</v>
      </c>
      <c r="E303" s="31">
        <v>18353</v>
      </c>
      <c r="F303" s="29"/>
      <c r="G303" s="32">
        <v>45266</v>
      </c>
      <c r="H303" s="29"/>
      <c r="I303" s="5" t="s">
        <v>69</v>
      </c>
      <c r="J303" s="5" t="s">
        <v>76</v>
      </c>
      <c r="K303" s="5" t="s">
        <v>52</v>
      </c>
    </row>
    <row r="304" spans="1:11" ht="18.75" customHeight="1" x14ac:dyDescent="0.3">
      <c r="A304" s="30">
        <v>322</v>
      </c>
      <c r="B304" s="29"/>
      <c r="C304" s="5" t="s">
        <v>14</v>
      </c>
      <c r="D304" s="7">
        <v>128</v>
      </c>
      <c r="E304" s="31">
        <v>18363</v>
      </c>
      <c r="F304" s="29"/>
      <c r="G304" s="32">
        <v>45267</v>
      </c>
      <c r="H304" s="29"/>
      <c r="I304" s="5" t="s">
        <v>69</v>
      </c>
      <c r="J304" s="5" t="s">
        <v>76</v>
      </c>
      <c r="K304" s="5" t="s">
        <v>52</v>
      </c>
    </row>
    <row r="305" spans="1:11" ht="18.75" customHeight="1" x14ac:dyDescent="0.3">
      <c r="A305" s="30">
        <v>323</v>
      </c>
      <c r="B305" s="29"/>
      <c r="C305" s="5" t="s">
        <v>14</v>
      </c>
      <c r="D305" s="7">
        <v>170</v>
      </c>
      <c r="E305" s="31">
        <v>18343</v>
      </c>
      <c r="F305" s="29"/>
      <c r="G305" s="32">
        <v>45268</v>
      </c>
      <c r="H305" s="29"/>
      <c r="I305" s="5" t="s">
        <v>69</v>
      </c>
      <c r="J305" s="5" t="s">
        <v>76</v>
      </c>
      <c r="K305" s="5" t="s">
        <v>52</v>
      </c>
    </row>
    <row r="306" spans="1:11" ht="18.75" customHeight="1" x14ac:dyDescent="0.3">
      <c r="A306" s="30">
        <v>324</v>
      </c>
      <c r="B306" s="29"/>
      <c r="C306" s="5" t="s">
        <v>14</v>
      </c>
      <c r="D306" s="7">
        <v>124</v>
      </c>
      <c r="E306" s="31">
        <v>18370</v>
      </c>
      <c r="F306" s="29"/>
      <c r="G306" s="32">
        <v>45269</v>
      </c>
      <c r="H306" s="29"/>
      <c r="I306" s="5" t="s">
        <v>69</v>
      </c>
      <c r="J306" s="5" t="s">
        <v>76</v>
      </c>
      <c r="K306" s="5" t="s">
        <v>52</v>
      </c>
    </row>
    <row r="307" spans="1:11" ht="18.75" customHeight="1" x14ac:dyDescent="0.3">
      <c r="A307" s="30">
        <v>325</v>
      </c>
      <c r="B307" s="29"/>
      <c r="C307" s="5" t="s">
        <v>14</v>
      </c>
      <c r="D307" s="7">
        <v>150</v>
      </c>
      <c r="E307" s="31">
        <v>18383</v>
      </c>
      <c r="F307" s="29"/>
      <c r="G307" s="32">
        <v>45271</v>
      </c>
      <c r="H307" s="29"/>
      <c r="I307" s="5" t="s">
        <v>69</v>
      </c>
      <c r="J307" s="5" t="s">
        <v>76</v>
      </c>
      <c r="K307" s="5" t="s">
        <v>52</v>
      </c>
    </row>
    <row r="308" spans="1:11" ht="18.75" customHeight="1" x14ac:dyDescent="0.3">
      <c r="A308" s="30">
        <v>326</v>
      </c>
      <c r="B308" s="29"/>
      <c r="C308" s="5" t="s">
        <v>14</v>
      </c>
      <c r="D308" s="7">
        <v>154</v>
      </c>
      <c r="E308" s="31">
        <v>103209</v>
      </c>
      <c r="F308" s="29"/>
      <c r="G308" s="32">
        <v>45272</v>
      </c>
      <c r="H308" s="29"/>
      <c r="I308" s="5" t="s">
        <v>69</v>
      </c>
      <c r="J308" s="5" t="s">
        <v>76</v>
      </c>
      <c r="K308" s="5" t="s">
        <v>52</v>
      </c>
    </row>
    <row r="309" spans="1:11" ht="18.75" customHeight="1" x14ac:dyDescent="0.3">
      <c r="A309" s="30">
        <v>327</v>
      </c>
      <c r="B309" s="29"/>
      <c r="C309" s="5" t="s">
        <v>14</v>
      </c>
      <c r="D309" s="7">
        <v>163</v>
      </c>
      <c r="E309" s="31">
        <v>18958</v>
      </c>
      <c r="F309" s="29"/>
      <c r="G309" s="32">
        <v>45273</v>
      </c>
      <c r="H309" s="29"/>
      <c r="I309" s="5" t="s">
        <v>69</v>
      </c>
      <c r="J309" s="5" t="s">
        <v>76</v>
      </c>
      <c r="K309" s="5" t="s">
        <v>52</v>
      </c>
    </row>
    <row r="310" spans="1:11" ht="18.75" customHeight="1" x14ac:dyDescent="0.3">
      <c r="A310" s="30">
        <v>328</v>
      </c>
      <c r="B310" s="29"/>
      <c r="C310" s="5" t="s">
        <v>14</v>
      </c>
      <c r="D310" s="7">
        <v>84</v>
      </c>
      <c r="E310" s="31">
        <v>18966</v>
      </c>
      <c r="F310" s="29"/>
      <c r="G310" s="32">
        <v>45274</v>
      </c>
      <c r="H310" s="29"/>
      <c r="I310" s="5" t="s">
        <v>69</v>
      </c>
      <c r="J310" s="5" t="s">
        <v>76</v>
      </c>
      <c r="K310" s="5" t="s">
        <v>52</v>
      </c>
    </row>
    <row r="311" spans="1:11" ht="18.75" customHeight="1" x14ac:dyDescent="0.3">
      <c r="A311" s="30">
        <v>329</v>
      </c>
      <c r="B311" s="29"/>
      <c r="C311" s="5" t="s">
        <v>14</v>
      </c>
      <c r="D311" s="7">
        <v>168</v>
      </c>
      <c r="E311" s="31">
        <v>103289</v>
      </c>
      <c r="F311" s="29"/>
      <c r="G311" s="32">
        <v>45274</v>
      </c>
      <c r="H311" s="29"/>
      <c r="I311" s="5" t="s">
        <v>69</v>
      </c>
      <c r="J311" s="5" t="s">
        <v>76</v>
      </c>
      <c r="K311" s="5" t="s">
        <v>52</v>
      </c>
    </row>
    <row r="312" spans="1:11" ht="18.75" customHeight="1" x14ac:dyDescent="0.3">
      <c r="A312" s="30">
        <v>330</v>
      </c>
      <c r="B312" s="29"/>
      <c r="C312" s="5" t="s">
        <v>14</v>
      </c>
      <c r="D312" s="7">
        <v>163</v>
      </c>
      <c r="E312" s="31">
        <v>18975</v>
      </c>
      <c r="F312" s="29"/>
      <c r="G312" s="32">
        <v>45275</v>
      </c>
      <c r="H312" s="29"/>
      <c r="I312" s="5" t="s">
        <v>69</v>
      </c>
      <c r="J312" s="5" t="s">
        <v>76</v>
      </c>
      <c r="K312" s="5" t="s">
        <v>52</v>
      </c>
    </row>
    <row r="313" spans="1:11" ht="18.75" customHeight="1" x14ac:dyDescent="0.3">
      <c r="A313" s="30">
        <v>331</v>
      </c>
      <c r="B313" s="29"/>
      <c r="C313" s="5" t="s">
        <v>14</v>
      </c>
      <c r="D313" s="7">
        <v>47</v>
      </c>
      <c r="E313" s="31">
        <v>18419</v>
      </c>
      <c r="F313" s="29"/>
      <c r="G313" s="32">
        <v>45276</v>
      </c>
      <c r="H313" s="29"/>
      <c r="I313" s="5" t="s">
        <v>69</v>
      </c>
      <c r="J313" s="5" t="s">
        <v>76</v>
      </c>
      <c r="K313" s="5" t="s">
        <v>52</v>
      </c>
    </row>
    <row r="314" spans="1:11" ht="18.75" customHeight="1" x14ac:dyDescent="0.3">
      <c r="A314" s="30">
        <v>332</v>
      </c>
      <c r="B314" s="29"/>
      <c r="C314" s="5" t="s">
        <v>14</v>
      </c>
      <c r="D314" s="7">
        <v>115</v>
      </c>
      <c r="E314" s="31">
        <v>103373</v>
      </c>
      <c r="F314" s="29"/>
      <c r="G314" s="32">
        <v>45276</v>
      </c>
      <c r="H314" s="29"/>
      <c r="I314" s="5" t="s">
        <v>69</v>
      </c>
      <c r="J314" s="5" t="s">
        <v>76</v>
      </c>
      <c r="K314" s="5" t="s">
        <v>52</v>
      </c>
    </row>
    <row r="315" spans="1:11" ht="18.75" customHeight="1" x14ac:dyDescent="0.3">
      <c r="A315" s="30">
        <v>333</v>
      </c>
      <c r="B315" s="29"/>
      <c r="C315" s="5" t="s">
        <v>14</v>
      </c>
      <c r="D315" s="7">
        <v>82</v>
      </c>
      <c r="E315" s="31">
        <v>18988</v>
      </c>
      <c r="F315" s="29"/>
      <c r="G315" s="32">
        <v>45277</v>
      </c>
      <c r="H315" s="29"/>
      <c r="I315" s="5" t="s">
        <v>69</v>
      </c>
      <c r="J315" s="5" t="s">
        <v>76</v>
      </c>
      <c r="K315" s="5" t="s">
        <v>52</v>
      </c>
    </row>
    <row r="316" spans="1:11" ht="18.75" customHeight="1" x14ac:dyDescent="0.3">
      <c r="A316" s="30">
        <v>334</v>
      </c>
      <c r="B316" s="29"/>
      <c r="C316" s="5" t="s">
        <v>40</v>
      </c>
      <c r="D316" s="7">
        <v>530</v>
      </c>
      <c r="E316" s="31">
        <v>133028</v>
      </c>
      <c r="F316" s="29"/>
      <c r="G316" s="32">
        <v>45273</v>
      </c>
      <c r="H316" s="29"/>
      <c r="I316" s="5" t="s">
        <v>15</v>
      </c>
      <c r="J316" s="5" t="s">
        <v>30</v>
      </c>
      <c r="K316" s="5"/>
    </row>
    <row r="317" spans="1:11" ht="18.75" customHeight="1" x14ac:dyDescent="0.3">
      <c r="A317" s="30">
        <v>335</v>
      </c>
      <c r="B317" s="29"/>
      <c r="C317" s="5" t="s">
        <v>40</v>
      </c>
      <c r="D317" s="7">
        <v>400</v>
      </c>
      <c r="E317" s="31">
        <v>133034</v>
      </c>
      <c r="F317" s="29"/>
      <c r="G317" s="32">
        <v>45274</v>
      </c>
      <c r="H317" s="29"/>
      <c r="I317" s="5" t="s">
        <v>15</v>
      </c>
      <c r="J317" s="5" t="s">
        <v>30</v>
      </c>
      <c r="K317" s="5"/>
    </row>
    <row r="318" spans="1:11" ht="18.75" customHeight="1" x14ac:dyDescent="0.3">
      <c r="A318" s="30">
        <v>336</v>
      </c>
      <c r="B318" s="29"/>
      <c r="C318" s="5" t="s">
        <v>40</v>
      </c>
      <c r="D318" s="7">
        <v>364</v>
      </c>
      <c r="E318" s="31">
        <v>133729</v>
      </c>
      <c r="F318" s="29"/>
      <c r="G318" s="32">
        <v>45274</v>
      </c>
      <c r="H318" s="29"/>
      <c r="I318" s="5" t="s">
        <v>15</v>
      </c>
      <c r="J318" s="5" t="s">
        <v>30</v>
      </c>
      <c r="K318" s="5"/>
    </row>
    <row r="319" spans="1:11" ht="18.75" customHeight="1" x14ac:dyDescent="0.3">
      <c r="A319" s="30">
        <v>337</v>
      </c>
      <c r="B319" s="29"/>
      <c r="C319" s="5" t="s">
        <v>40</v>
      </c>
      <c r="D319" s="7">
        <v>588</v>
      </c>
      <c r="E319" s="31">
        <v>133040</v>
      </c>
      <c r="F319" s="29"/>
      <c r="G319" s="32">
        <v>45275</v>
      </c>
      <c r="H319" s="29"/>
      <c r="I319" s="5" t="s">
        <v>15</v>
      </c>
      <c r="J319" s="5" t="s">
        <v>30</v>
      </c>
      <c r="K319" s="5"/>
    </row>
    <row r="320" spans="1:11" ht="18.75" customHeight="1" x14ac:dyDescent="0.3">
      <c r="A320" s="30">
        <v>338</v>
      </c>
      <c r="B320" s="29"/>
      <c r="C320" s="5" t="s">
        <v>40</v>
      </c>
      <c r="D320" s="7">
        <v>495</v>
      </c>
      <c r="E320" s="31">
        <v>92720</v>
      </c>
      <c r="F320" s="29"/>
      <c r="G320" s="32">
        <v>45275</v>
      </c>
      <c r="H320" s="29"/>
      <c r="I320" s="5" t="s">
        <v>15</v>
      </c>
      <c r="J320" s="5" t="s">
        <v>30</v>
      </c>
      <c r="K320" s="5"/>
    </row>
    <row r="321" spans="1:11" ht="18.75" customHeight="1" x14ac:dyDescent="0.3">
      <c r="A321" s="30">
        <v>339</v>
      </c>
      <c r="B321" s="29"/>
      <c r="C321" s="5" t="s">
        <v>40</v>
      </c>
      <c r="D321" s="7">
        <v>400</v>
      </c>
      <c r="E321" s="31">
        <v>133045</v>
      </c>
      <c r="F321" s="29"/>
      <c r="G321" s="32">
        <v>45276</v>
      </c>
      <c r="H321" s="29"/>
      <c r="I321" s="5" t="s">
        <v>15</v>
      </c>
      <c r="J321" s="5" t="s">
        <v>30</v>
      </c>
      <c r="K321" s="5"/>
    </row>
    <row r="322" spans="1:11" ht="18.75" customHeight="1" x14ac:dyDescent="0.3">
      <c r="A322" s="30">
        <v>340</v>
      </c>
      <c r="B322" s="29"/>
      <c r="C322" s="5" t="s">
        <v>40</v>
      </c>
      <c r="D322" s="7">
        <v>394</v>
      </c>
      <c r="E322" s="31">
        <v>133735</v>
      </c>
      <c r="F322" s="29"/>
      <c r="G322" s="32">
        <v>45276</v>
      </c>
      <c r="H322" s="29"/>
      <c r="I322" s="5" t="s">
        <v>15</v>
      </c>
      <c r="J322" s="5" t="s">
        <v>30</v>
      </c>
      <c r="K322" s="5"/>
    </row>
    <row r="323" spans="1:11" ht="18.75" customHeight="1" x14ac:dyDescent="0.3">
      <c r="A323" s="30">
        <v>341</v>
      </c>
      <c r="B323" s="29"/>
      <c r="C323" s="5" t="s">
        <v>40</v>
      </c>
      <c r="D323" s="7">
        <v>490</v>
      </c>
      <c r="E323" s="31">
        <v>133049</v>
      </c>
      <c r="F323" s="29"/>
      <c r="G323" s="32">
        <v>45278</v>
      </c>
      <c r="H323" s="29"/>
      <c r="I323" s="5" t="s">
        <v>15</v>
      </c>
      <c r="J323" s="5" t="s">
        <v>30</v>
      </c>
      <c r="K323" s="5"/>
    </row>
    <row r="324" spans="1:11" ht="18.75" customHeight="1" x14ac:dyDescent="0.3">
      <c r="A324" s="30">
        <v>342</v>
      </c>
      <c r="B324" s="29"/>
      <c r="C324" s="5" t="s">
        <v>40</v>
      </c>
      <c r="D324" s="7">
        <v>552</v>
      </c>
      <c r="E324" s="31">
        <v>133156</v>
      </c>
      <c r="F324" s="29"/>
      <c r="G324" s="32">
        <v>45278</v>
      </c>
      <c r="H324" s="29"/>
      <c r="I324" s="5" t="s">
        <v>15</v>
      </c>
      <c r="J324" s="5" t="s">
        <v>30</v>
      </c>
      <c r="K324" s="5"/>
    </row>
    <row r="325" spans="1:11" ht="18.75" customHeight="1" x14ac:dyDescent="0.3">
      <c r="A325" s="30">
        <v>343</v>
      </c>
      <c r="B325" s="29"/>
      <c r="C325" s="5" t="s">
        <v>40</v>
      </c>
      <c r="D325" s="7">
        <v>400</v>
      </c>
      <c r="E325" s="31">
        <v>133158</v>
      </c>
      <c r="F325" s="29"/>
      <c r="G325" s="32">
        <v>45279</v>
      </c>
      <c r="H325" s="29"/>
      <c r="I325" s="5" t="s">
        <v>15</v>
      </c>
      <c r="J325" s="5" t="s">
        <v>30</v>
      </c>
      <c r="K325" s="5"/>
    </row>
    <row r="326" spans="1:11" ht="18.75" customHeight="1" x14ac:dyDescent="0.3">
      <c r="A326" s="30">
        <v>344</v>
      </c>
      <c r="B326" s="29"/>
      <c r="C326" s="5" t="s">
        <v>40</v>
      </c>
      <c r="D326" s="7">
        <v>549</v>
      </c>
      <c r="E326" s="31">
        <v>133165</v>
      </c>
      <c r="F326" s="29"/>
      <c r="G326" s="32">
        <v>45279</v>
      </c>
      <c r="H326" s="29"/>
      <c r="I326" s="5" t="s">
        <v>15</v>
      </c>
      <c r="J326" s="5" t="s">
        <v>30</v>
      </c>
      <c r="K326" s="5"/>
    </row>
    <row r="327" spans="1:11" ht="18.75" customHeight="1" x14ac:dyDescent="0.3">
      <c r="A327" s="30">
        <v>345</v>
      </c>
      <c r="B327" s="29"/>
      <c r="C327" s="5" t="s">
        <v>40</v>
      </c>
      <c r="D327" s="7">
        <v>504</v>
      </c>
      <c r="E327" s="31">
        <v>133168</v>
      </c>
      <c r="F327" s="29"/>
      <c r="G327" s="32">
        <v>45280</v>
      </c>
      <c r="H327" s="29"/>
      <c r="I327" s="5" t="s">
        <v>15</v>
      </c>
      <c r="J327" s="5" t="s">
        <v>30</v>
      </c>
      <c r="K327" s="5"/>
    </row>
    <row r="328" spans="1:11" ht="18.75" customHeight="1" x14ac:dyDescent="0.3">
      <c r="A328" s="30">
        <v>346</v>
      </c>
      <c r="B328" s="29"/>
      <c r="C328" s="5" t="s">
        <v>40</v>
      </c>
      <c r="D328" s="7">
        <v>360</v>
      </c>
      <c r="E328" s="31">
        <v>92727</v>
      </c>
      <c r="F328" s="29"/>
      <c r="G328" s="32">
        <v>45280</v>
      </c>
      <c r="H328" s="29"/>
      <c r="I328" s="5" t="s">
        <v>15</v>
      </c>
      <c r="J328" s="5" t="s">
        <v>30</v>
      </c>
      <c r="K328" s="5"/>
    </row>
    <row r="329" spans="1:11" ht="18.75" customHeight="1" x14ac:dyDescent="0.3">
      <c r="A329" s="30">
        <v>347</v>
      </c>
      <c r="B329" s="29"/>
      <c r="C329" s="5" t="s">
        <v>40</v>
      </c>
      <c r="D329" s="7">
        <v>400</v>
      </c>
      <c r="E329" s="31">
        <v>131274</v>
      </c>
      <c r="F329" s="29"/>
      <c r="G329" s="32">
        <v>45281</v>
      </c>
      <c r="H329" s="29"/>
      <c r="I329" s="5" t="s">
        <v>15</v>
      </c>
      <c r="J329" s="5" t="s">
        <v>30</v>
      </c>
      <c r="K329" s="5"/>
    </row>
    <row r="330" spans="1:11" ht="18.75" customHeight="1" x14ac:dyDescent="0.3">
      <c r="A330" s="30">
        <v>348</v>
      </c>
      <c r="B330" s="29"/>
      <c r="C330" s="5" t="s">
        <v>40</v>
      </c>
      <c r="D330" s="7">
        <v>369</v>
      </c>
      <c r="E330" s="31">
        <v>131279</v>
      </c>
      <c r="F330" s="29"/>
      <c r="G330" s="32">
        <v>45281</v>
      </c>
      <c r="H330" s="29"/>
      <c r="I330" s="5" t="s">
        <v>15</v>
      </c>
      <c r="J330" s="5" t="s">
        <v>30</v>
      </c>
      <c r="K330" s="5"/>
    </row>
    <row r="331" spans="1:11" ht="18.75" customHeight="1" x14ac:dyDescent="0.3">
      <c r="A331" s="30">
        <v>349</v>
      </c>
      <c r="B331" s="29"/>
      <c r="C331" s="5" t="s">
        <v>40</v>
      </c>
      <c r="D331" s="7">
        <v>383</v>
      </c>
      <c r="E331" s="31">
        <v>133182</v>
      </c>
      <c r="F331" s="29"/>
      <c r="G331" s="32">
        <v>45282</v>
      </c>
      <c r="H331" s="29"/>
      <c r="I331" s="5" t="s">
        <v>15</v>
      </c>
      <c r="J331" s="5" t="s">
        <v>30</v>
      </c>
      <c r="K331" s="5"/>
    </row>
    <row r="332" spans="1:11" ht="18.75" customHeight="1" x14ac:dyDescent="0.3">
      <c r="A332" s="30">
        <v>350</v>
      </c>
      <c r="B332" s="29"/>
      <c r="C332" s="5" t="s">
        <v>40</v>
      </c>
      <c r="D332" s="7">
        <v>480</v>
      </c>
      <c r="E332" s="31">
        <v>133748</v>
      </c>
      <c r="F332" s="29"/>
      <c r="G332" s="32">
        <v>45282</v>
      </c>
      <c r="H332" s="29"/>
      <c r="I332" s="5" t="s">
        <v>15</v>
      </c>
      <c r="J332" s="5" t="s">
        <v>30</v>
      </c>
      <c r="K332" s="5"/>
    </row>
    <row r="333" spans="1:11" ht="18.75" customHeight="1" x14ac:dyDescent="0.3">
      <c r="A333" s="30">
        <v>351</v>
      </c>
      <c r="B333" s="29"/>
      <c r="C333" s="5" t="s">
        <v>40</v>
      </c>
      <c r="D333" s="7">
        <v>343</v>
      </c>
      <c r="E333" s="31">
        <v>92732</v>
      </c>
      <c r="F333" s="29"/>
      <c r="G333" s="32">
        <v>45283</v>
      </c>
      <c r="H333" s="29"/>
      <c r="I333" s="5" t="s">
        <v>15</v>
      </c>
      <c r="J333" s="5" t="s">
        <v>30</v>
      </c>
      <c r="K333" s="5"/>
    </row>
    <row r="334" spans="1:11" ht="18.75" customHeight="1" x14ac:dyDescent="0.3">
      <c r="A334" s="30">
        <v>352</v>
      </c>
      <c r="B334" s="29"/>
      <c r="C334" s="5" t="s">
        <v>40</v>
      </c>
      <c r="D334" s="7">
        <v>414</v>
      </c>
      <c r="E334" s="31">
        <v>133194</v>
      </c>
      <c r="F334" s="29"/>
      <c r="G334" s="32">
        <v>45283</v>
      </c>
      <c r="H334" s="29"/>
      <c r="I334" s="5" t="s">
        <v>15</v>
      </c>
      <c r="J334" s="5" t="s">
        <v>30</v>
      </c>
      <c r="K334" s="5"/>
    </row>
    <row r="335" spans="1:11" ht="18.75" customHeight="1" x14ac:dyDescent="0.3">
      <c r="A335" s="30">
        <v>353</v>
      </c>
      <c r="B335" s="29"/>
      <c r="C335" s="5" t="s">
        <v>14</v>
      </c>
      <c r="D335" s="7">
        <v>137</v>
      </c>
      <c r="E335" s="31">
        <v>18401</v>
      </c>
      <c r="F335" s="29"/>
      <c r="G335" s="32">
        <v>45278</v>
      </c>
      <c r="H335" s="29"/>
      <c r="I335" s="5" t="s">
        <v>69</v>
      </c>
      <c r="J335" s="5" t="s">
        <v>76</v>
      </c>
      <c r="K335" s="5" t="s">
        <v>52</v>
      </c>
    </row>
    <row r="336" spans="1:11" ht="18.75" customHeight="1" x14ac:dyDescent="0.3">
      <c r="A336" s="30">
        <v>354</v>
      </c>
      <c r="B336" s="29"/>
      <c r="C336" s="5" t="s">
        <v>14</v>
      </c>
      <c r="D336" s="7">
        <v>141</v>
      </c>
      <c r="E336" s="31">
        <v>18427</v>
      </c>
      <c r="F336" s="29"/>
      <c r="G336" s="32">
        <v>45279</v>
      </c>
      <c r="H336" s="29"/>
      <c r="I336" s="5" t="s">
        <v>69</v>
      </c>
      <c r="J336" s="5" t="s">
        <v>76</v>
      </c>
      <c r="K336" s="5" t="s">
        <v>52</v>
      </c>
    </row>
    <row r="337" spans="1:11" ht="18.75" customHeight="1" x14ac:dyDescent="0.3">
      <c r="A337" s="30">
        <v>355</v>
      </c>
      <c r="B337" s="29"/>
      <c r="C337" s="5" t="s">
        <v>14</v>
      </c>
      <c r="D337" s="7">
        <v>62</v>
      </c>
      <c r="E337" s="31">
        <v>19000</v>
      </c>
      <c r="F337" s="29"/>
      <c r="G337" s="32">
        <v>45281</v>
      </c>
      <c r="H337" s="29"/>
      <c r="I337" s="5" t="s">
        <v>69</v>
      </c>
      <c r="J337" s="5" t="s">
        <v>76</v>
      </c>
      <c r="K337" s="5" t="s">
        <v>52</v>
      </c>
    </row>
    <row r="338" spans="1:11" ht="18.75" customHeight="1" x14ac:dyDescent="0.3">
      <c r="A338" s="30">
        <v>356</v>
      </c>
      <c r="B338" s="29"/>
      <c r="C338" s="5" t="s">
        <v>14</v>
      </c>
      <c r="D338" s="7">
        <v>232</v>
      </c>
      <c r="E338" s="31">
        <v>18975</v>
      </c>
      <c r="F338" s="29"/>
      <c r="G338" s="32">
        <v>45282</v>
      </c>
      <c r="H338" s="29"/>
      <c r="I338" s="5" t="s">
        <v>69</v>
      </c>
      <c r="J338" s="5" t="s">
        <v>76</v>
      </c>
      <c r="K338" s="5" t="s">
        <v>52</v>
      </c>
    </row>
    <row r="339" spans="1:11" ht="18.75" customHeight="1" x14ac:dyDescent="0.3">
      <c r="A339" s="30">
        <v>357</v>
      </c>
      <c r="B339" s="29"/>
      <c r="C339" s="5" t="s">
        <v>14</v>
      </c>
      <c r="D339" s="7">
        <v>140</v>
      </c>
      <c r="E339" s="31">
        <v>18419</v>
      </c>
      <c r="F339" s="29"/>
      <c r="G339" s="32">
        <v>45283</v>
      </c>
      <c r="H339" s="29"/>
      <c r="I339" s="5" t="s">
        <v>69</v>
      </c>
      <c r="J339" s="5" t="s">
        <v>76</v>
      </c>
      <c r="K339" s="5" t="s">
        <v>52</v>
      </c>
    </row>
    <row r="340" spans="1:11" ht="18.75" customHeight="1" x14ac:dyDescent="0.3">
      <c r="A340" s="30">
        <v>358</v>
      </c>
      <c r="B340" s="29"/>
      <c r="C340" s="5" t="s">
        <v>14</v>
      </c>
      <c r="D340" s="7">
        <v>209</v>
      </c>
      <c r="E340" s="31">
        <v>103481</v>
      </c>
      <c r="F340" s="29"/>
      <c r="G340" s="32">
        <v>45281</v>
      </c>
      <c r="H340" s="29"/>
      <c r="I340" s="5" t="s">
        <v>69</v>
      </c>
      <c r="J340" s="5" t="s">
        <v>76</v>
      </c>
      <c r="K340" s="5" t="s">
        <v>52</v>
      </c>
    </row>
    <row r="341" spans="1:11" ht="18.75" customHeight="1" x14ac:dyDescent="0.3">
      <c r="A341" s="30">
        <v>359</v>
      </c>
      <c r="B341" s="29"/>
      <c r="C341" s="5" t="s">
        <v>14</v>
      </c>
      <c r="D341" s="7">
        <v>258</v>
      </c>
      <c r="E341" s="31">
        <v>103533</v>
      </c>
      <c r="F341" s="29"/>
      <c r="G341" s="32">
        <v>45283</v>
      </c>
      <c r="H341" s="29"/>
      <c r="I341" s="5" t="s">
        <v>69</v>
      </c>
      <c r="J341" s="5" t="s">
        <v>76</v>
      </c>
      <c r="K341" s="5" t="s">
        <v>52</v>
      </c>
    </row>
    <row r="342" spans="1:11" ht="18.75" customHeight="1" x14ac:dyDescent="0.3">
      <c r="A342" s="53">
        <v>360</v>
      </c>
      <c r="B342" s="29"/>
      <c r="C342" s="5"/>
      <c r="D342" s="8"/>
      <c r="E342" s="28"/>
      <c r="F342" s="29"/>
      <c r="G342" s="32"/>
      <c r="H342" s="29"/>
      <c r="I342" s="5"/>
      <c r="J342" s="5"/>
      <c r="K342" s="5"/>
    </row>
    <row r="343" spans="1:11" ht="18.75" customHeight="1" x14ac:dyDescent="0.3">
      <c r="A343" s="53">
        <v>361</v>
      </c>
      <c r="B343" s="29"/>
      <c r="C343" s="5"/>
      <c r="D343" s="8"/>
      <c r="E343" s="28"/>
      <c r="F343" s="29"/>
      <c r="G343" s="32"/>
      <c r="H343" s="29"/>
      <c r="I343" s="5"/>
      <c r="J343" s="5"/>
      <c r="K343" s="5"/>
    </row>
    <row r="344" spans="1:11" ht="18.75" customHeight="1" x14ac:dyDescent="0.3">
      <c r="A344" s="53">
        <v>362</v>
      </c>
      <c r="B344" s="29"/>
      <c r="C344" s="5"/>
      <c r="D344" s="8"/>
      <c r="E344" s="28"/>
      <c r="F344" s="29"/>
      <c r="G344" s="32"/>
      <c r="H344" s="29"/>
      <c r="I344" s="5"/>
      <c r="J344" s="5"/>
      <c r="K344" s="5"/>
    </row>
    <row r="345" spans="1:11" ht="18.75" customHeight="1" x14ac:dyDescent="0.3">
      <c r="A345" s="53">
        <v>363</v>
      </c>
      <c r="B345" s="29"/>
      <c r="C345" s="5"/>
      <c r="D345" s="8"/>
      <c r="E345" s="28"/>
      <c r="F345" s="29"/>
      <c r="G345" s="32"/>
      <c r="H345" s="29"/>
      <c r="I345" s="5"/>
      <c r="J345" s="5"/>
      <c r="K345" s="5"/>
    </row>
    <row r="346" spans="1:11" ht="18.75" customHeight="1" x14ac:dyDescent="0.3">
      <c r="A346" s="53">
        <v>364</v>
      </c>
      <c r="B346" s="29"/>
      <c r="C346" s="5"/>
      <c r="D346" s="8"/>
      <c r="E346" s="28"/>
      <c r="F346" s="29"/>
      <c r="G346" s="32"/>
      <c r="H346" s="29"/>
      <c r="I346" s="5"/>
      <c r="J346" s="5"/>
      <c r="K346" s="5"/>
    </row>
    <row r="347" spans="1:11" ht="18.75" customHeight="1" x14ac:dyDescent="0.3">
      <c r="A347" s="53">
        <v>365</v>
      </c>
      <c r="B347" s="29"/>
      <c r="C347" s="5"/>
      <c r="D347" s="8"/>
      <c r="E347" s="28"/>
      <c r="F347" s="29"/>
      <c r="G347" s="32"/>
      <c r="H347" s="29"/>
      <c r="I347" s="5"/>
      <c r="J347" s="5"/>
      <c r="K347" s="5"/>
    </row>
    <row r="348" spans="1:11" ht="18.75" customHeight="1" x14ac:dyDescent="0.3">
      <c r="A348" s="53">
        <v>366</v>
      </c>
      <c r="B348" s="29"/>
      <c r="C348" s="5"/>
      <c r="D348" s="8"/>
      <c r="E348" s="28"/>
      <c r="F348" s="29"/>
      <c r="G348" s="32"/>
      <c r="H348" s="29"/>
      <c r="I348" s="5"/>
      <c r="J348" s="5"/>
      <c r="K348" s="5"/>
    </row>
    <row r="349" spans="1:11" ht="18.75" customHeight="1" x14ac:dyDescent="0.3">
      <c r="A349" s="53">
        <v>367</v>
      </c>
      <c r="B349" s="29"/>
      <c r="C349" s="5"/>
      <c r="D349" s="8"/>
      <c r="E349" s="28"/>
      <c r="F349" s="29"/>
      <c r="G349" s="32"/>
      <c r="H349" s="29"/>
      <c r="I349" s="5"/>
      <c r="J349" s="5"/>
      <c r="K349" s="5"/>
    </row>
    <row r="350" spans="1:11" ht="18.75" customHeight="1" x14ac:dyDescent="0.3">
      <c r="A350" s="53">
        <v>368</v>
      </c>
      <c r="B350" s="29"/>
      <c r="C350" s="5"/>
      <c r="D350" s="8"/>
      <c r="E350" s="28"/>
      <c r="F350" s="29"/>
      <c r="G350" s="32"/>
      <c r="H350" s="29"/>
      <c r="I350" s="5"/>
      <c r="J350" s="5"/>
      <c r="K350" s="5"/>
    </row>
    <row r="351" spans="1:11" ht="18.75" customHeight="1" x14ac:dyDescent="0.3">
      <c r="A351" s="53">
        <v>369</v>
      </c>
      <c r="B351" s="29"/>
      <c r="C351" s="5"/>
      <c r="D351" s="8"/>
      <c r="E351" s="28"/>
      <c r="F351" s="29"/>
      <c r="G351" s="32"/>
      <c r="H351" s="29"/>
      <c r="I351" s="5"/>
      <c r="J351" s="5"/>
      <c r="K351" s="5"/>
    </row>
    <row r="352" spans="1:11" ht="18.75" customHeight="1" x14ac:dyDescent="0.3">
      <c r="A352" s="53">
        <v>370</v>
      </c>
      <c r="B352" s="29"/>
      <c r="C352" s="5"/>
      <c r="D352" s="8"/>
      <c r="E352" s="28"/>
      <c r="F352" s="29"/>
      <c r="G352" s="32"/>
      <c r="H352" s="29"/>
      <c r="I352" s="5"/>
      <c r="J352" s="5"/>
      <c r="K352" s="5"/>
    </row>
    <row r="353" spans="1:11" ht="18.75" customHeight="1" x14ac:dyDescent="0.3">
      <c r="A353" s="53">
        <v>371</v>
      </c>
      <c r="B353" s="29"/>
      <c r="C353" s="5"/>
      <c r="D353" s="8"/>
      <c r="E353" s="28"/>
      <c r="F353" s="29"/>
      <c r="G353" s="32"/>
      <c r="H353" s="29"/>
      <c r="I353" s="5"/>
      <c r="J353" s="5"/>
      <c r="K353" s="5"/>
    </row>
    <row r="354" spans="1:11" ht="18.75" customHeight="1" x14ac:dyDescent="0.3">
      <c r="A354" s="53">
        <v>372</v>
      </c>
      <c r="B354" s="29"/>
      <c r="C354" s="5"/>
      <c r="D354" s="8"/>
      <c r="E354" s="28"/>
      <c r="F354" s="29"/>
      <c r="G354" s="32"/>
      <c r="H354" s="29"/>
      <c r="I354" s="5"/>
      <c r="J354" s="5"/>
      <c r="K354" s="5"/>
    </row>
    <row r="355" spans="1:11" ht="18.75" customHeight="1" x14ac:dyDescent="0.3">
      <c r="A355" s="53">
        <v>373</v>
      </c>
      <c r="B355" s="29"/>
      <c r="C355" s="5"/>
      <c r="D355" s="8"/>
      <c r="E355" s="28"/>
      <c r="F355" s="29"/>
      <c r="G355" s="32"/>
      <c r="H355" s="29"/>
      <c r="I355" s="5"/>
      <c r="J355" s="5"/>
      <c r="K355" s="5"/>
    </row>
    <row r="356" spans="1:11" ht="18.75" customHeight="1" x14ac:dyDescent="0.3">
      <c r="A356" s="53">
        <v>374</v>
      </c>
      <c r="B356" s="29"/>
      <c r="C356" s="5"/>
      <c r="D356" s="8"/>
      <c r="E356" s="28"/>
      <c r="F356" s="29"/>
      <c r="G356" s="32"/>
      <c r="H356" s="29"/>
      <c r="I356" s="5"/>
      <c r="J356" s="5"/>
      <c r="K356" s="5"/>
    </row>
    <row r="357" spans="1:11" ht="18.75" customHeight="1" x14ac:dyDescent="0.3">
      <c r="A357" s="53">
        <v>375</v>
      </c>
      <c r="B357" s="29"/>
      <c r="C357" s="5"/>
      <c r="D357" s="8"/>
      <c r="E357" s="28"/>
      <c r="F357" s="29"/>
      <c r="G357" s="32"/>
      <c r="H357" s="29"/>
      <c r="I357" s="5"/>
      <c r="J357" s="5"/>
      <c r="K357" s="5"/>
    </row>
    <row r="358" spans="1:11" ht="18.75" customHeight="1" x14ac:dyDescent="0.3">
      <c r="A358" s="53">
        <v>376</v>
      </c>
      <c r="B358" s="29"/>
      <c r="C358" s="5"/>
      <c r="D358" s="8"/>
      <c r="E358" s="28"/>
      <c r="F358" s="29"/>
      <c r="G358" s="32"/>
      <c r="H358" s="29"/>
      <c r="I358" s="5"/>
      <c r="J358" s="5"/>
      <c r="K358" s="5"/>
    </row>
    <row r="359" spans="1:11" ht="18.75" customHeight="1" x14ac:dyDescent="0.3">
      <c r="A359" s="53">
        <v>377</v>
      </c>
      <c r="B359" s="29"/>
      <c r="C359" s="5"/>
      <c r="D359" s="8"/>
      <c r="E359" s="28"/>
      <c r="F359" s="29"/>
      <c r="G359" s="32"/>
      <c r="H359" s="29"/>
      <c r="I359" s="5"/>
      <c r="J359" s="5"/>
      <c r="K359" s="5"/>
    </row>
    <row r="360" spans="1:11" ht="18.75" customHeight="1" x14ac:dyDescent="0.3">
      <c r="A360" s="53">
        <v>378</v>
      </c>
      <c r="B360" s="29"/>
      <c r="C360" s="5"/>
      <c r="D360" s="8"/>
      <c r="E360" s="28"/>
      <c r="F360" s="29"/>
      <c r="G360" s="32"/>
      <c r="H360" s="29"/>
      <c r="I360" s="5"/>
      <c r="J360" s="5"/>
      <c r="K360" s="5"/>
    </row>
    <row r="361" spans="1:11" ht="18.75" customHeight="1" x14ac:dyDescent="0.3">
      <c r="A361" s="30">
        <v>379</v>
      </c>
      <c r="B361" s="29"/>
      <c r="C361" s="5" t="s">
        <v>14</v>
      </c>
      <c r="D361" s="7">
        <v>226</v>
      </c>
      <c r="E361" s="31">
        <v>18875</v>
      </c>
      <c r="F361" s="29"/>
      <c r="G361" s="32">
        <v>45296</v>
      </c>
      <c r="H361" s="29"/>
      <c r="I361" s="5" t="s">
        <v>69</v>
      </c>
      <c r="J361" s="5" t="s">
        <v>76</v>
      </c>
      <c r="K361" s="5" t="s">
        <v>52</v>
      </c>
    </row>
    <row r="362" spans="1:11" ht="18.75" customHeight="1" x14ac:dyDescent="0.3">
      <c r="A362" s="30">
        <v>380</v>
      </c>
      <c r="B362" s="29"/>
      <c r="C362" s="5" t="s">
        <v>14</v>
      </c>
      <c r="D362" s="7">
        <v>176</v>
      </c>
      <c r="E362" s="31">
        <v>18891</v>
      </c>
      <c r="F362" s="29"/>
      <c r="G362" s="32">
        <v>45297</v>
      </c>
      <c r="H362" s="29"/>
      <c r="I362" s="5" t="s">
        <v>69</v>
      </c>
      <c r="J362" s="5" t="s">
        <v>76</v>
      </c>
      <c r="K362" s="5" t="s">
        <v>52</v>
      </c>
    </row>
    <row r="363" spans="1:11" ht="18.75" customHeight="1" x14ac:dyDescent="0.3">
      <c r="A363" s="30">
        <v>381</v>
      </c>
      <c r="B363" s="29"/>
      <c r="C363" s="5" t="s">
        <v>14</v>
      </c>
      <c r="D363" s="7">
        <v>154</v>
      </c>
      <c r="E363" s="31">
        <v>18871</v>
      </c>
      <c r="F363" s="29"/>
      <c r="G363" s="32">
        <v>45295</v>
      </c>
      <c r="H363" s="29"/>
      <c r="I363" s="5" t="s">
        <v>69</v>
      </c>
      <c r="J363" s="5" t="s">
        <v>76</v>
      </c>
      <c r="K363" s="5" t="s">
        <v>52</v>
      </c>
    </row>
    <row r="364" spans="1:11" ht="18.75" customHeight="1" x14ac:dyDescent="0.3">
      <c r="A364" s="30">
        <v>382</v>
      </c>
      <c r="B364" s="29"/>
      <c r="C364" s="5" t="s">
        <v>14</v>
      </c>
      <c r="D364" s="7">
        <v>123</v>
      </c>
      <c r="E364" s="31">
        <v>18824</v>
      </c>
      <c r="F364" s="29"/>
      <c r="G364" s="32">
        <v>45294</v>
      </c>
      <c r="H364" s="29"/>
      <c r="I364" s="5" t="s">
        <v>69</v>
      </c>
      <c r="J364" s="5" t="s">
        <v>76</v>
      </c>
      <c r="K364" s="5" t="s">
        <v>52</v>
      </c>
    </row>
    <row r="365" spans="1:11" ht="18.75" customHeight="1" x14ac:dyDescent="0.3">
      <c r="A365" s="30">
        <v>383</v>
      </c>
      <c r="B365" s="29"/>
      <c r="C365" s="5" t="s">
        <v>14</v>
      </c>
      <c r="D365" s="7">
        <v>195</v>
      </c>
      <c r="E365" s="31">
        <v>18845</v>
      </c>
      <c r="F365" s="29"/>
      <c r="G365" s="32">
        <v>45293</v>
      </c>
      <c r="H365" s="29"/>
      <c r="I365" s="5" t="s">
        <v>69</v>
      </c>
      <c r="J365" s="5" t="s">
        <v>76</v>
      </c>
      <c r="K365" s="5" t="s">
        <v>52</v>
      </c>
    </row>
    <row r="366" spans="1:11" ht="18.75" customHeight="1" x14ac:dyDescent="0.3">
      <c r="A366" s="30">
        <v>384</v>
      </c>
      <c r="B366" s="29"/>
      <c r="C366" s="5" t="s">
        <v>14</v>
      </c>
      <c r="D366" s="7">
        <v>170</v>
      </c>
      <c r="E366" s="31">
        <v>103704</v>
      </c>
      <c r="F366" s="29"/>
      <c r="G366" s="32">
        <v>45294</v>
      </c>
      <c r="H366" s="29"/>
      <c r="I366" s="5" t="s">
        <v>69</v>
      </c>
      <c r="J366" s="5" t="s">
        <v>76</v>
      </c>
      <c r="K366" s="5" t="s">
        <v>52</v>
      </c>
    </row>
    <row r="367" spans="1:11" ht="18.75" customHeight="1" x14ac:dyDescent="0.3">
      <c r="A367" s="30">
        <v>385</v>
      </c>
      <c r="B367" s="29"/>
      <c r="C367" s="5" t="s">
        <v>14</v>
      </c>
      <c r="D367" s="7">
        <v>77</v>
      </c>
      <c r="E367" s="31">
        <v>103868</v>
      </c>
      <c r="F367" s="29"/>
      <c r="G367" s="32">
        <v>45298</v>
      </c>
      <c r="H367" s="29"/>
      <c r="I367" s="5" t="s">
        <v>69</v>
      </c>
      <c r="J367" s="5" t="s">
        <v>76</v>
      </c>
      <c r="K367" s="5" t="s">
        <v>52</v>
      </c>
    </row>
    <row r="368" spans="1:11" ht="18.75" customHeight="1" x14ac:dyDescent="0.3">
      <c r="A368" s="30">
        <v>386</v>
      </c>
      <c r="B368" s="29"/>
      <c r="C368" s="5" t="s">
        <v>40</v>
      </c>
      <c r="D368" s="7">
        <v>455</v>
      </c>
      <c r="E368" s="31">
        <v>133219</v>
      </c>
      <c r="F368" s="29"/>
      <c r="G368" s="32">
        <v>45294</v>
      </c>
      <c r="H368" s="29"/>
      <c r="I368" s="5" t="s">
        <v>15</v>
      </c>
      <c r="J368" s="5" t="s">
        <v>30</v>
      </c>
      <c r="K368" s="5"/>
    </row>
    <row r="369" spans="1:11" ht="18.75" customHeight="1" x14ac:dyDescent="0.3">
      <c r="A369" s="30">
        <v>387</v>
      </c>
      <c r="B369" s="29"/>
      <c r="C369" s="5" t="s">
        <v>40</v>
      </c>
      <c r="D369" s="7">
        <v>405</v>
      </c>
      <c r="E369" s="31">
        <v>131295</v>
      </c>
      <c r="F369" s="29"/>
      <c r="G369" s="32">
        <v>45294</v>
      </c>
      <c r="H369" s="29"/>
      <c r="I369" s="5" t="s">
        <v>15</v>
      </c>
      <c r="J369" s="5" t="s">
        <v>30</v>
      </c>
      <c r="K369" s="5"/>
    </row>
    <row r="370" spans="1:11" ht="18.75" customHeight="1" x14ac:dyDescent="0.3">
      <c r="A370" s="30">
        <v>388</v>
      </c>
      <c r="B370" s="29"/>
      <c r="C370" s="5" t="s">
        <v>40</v>
      </c>
      <c r="D370" s="7">
        <v>726</v>
      </c>
      <c r="E370" s="31">
        <v>131299</v>
      </c>
      <c r="F370" s="29"/>
      <c r="G370" s="32">
        <v>45295</v>
      </c>
      <c r="H370" s="29"/>
      <c r="I370" s="5" t="s">
        <v>15</v>
      </c>
      <c r="J370" s="5" t="s">
        <v>30</v>
      </c>
      <c r="K370" s="5"/>
    </row>
    <row r="371" spans="1:11" ht="18.75" customHeight="1" x14ac:dyDescent="0.3">
      <c r="A371" s="30">
        <v>389</v>
      </c>
      <c r="B371" s="29"/>
      <c r="C371" s="5" t="s">
        <v>40</v>
      </c>
      <c r="D371" s="7">
        <v>525</v>
      </c>
      <c r="E371" s="31">
        <v>133228</v>
      </c>
      <c r="F371" s="29"/>
      <c r="G371" s="32">
        <v>45295</v>
      </c>
      <c r="H371" s="29"/>
      <c r="I371" s="5" t="s">
        <v>15</v>
      </c>
      <c r="J371" s="5" t="s">
        <v>30</v>
      </c>
      <c r="K371" s="5"/>
    </row>
    <row r="372" spans="1:11" ht="18.75" customHeight="1" x14ac:dyDescent="0.3">
      <c r="A372" s="30">
        <v>390</v>
      </c>
      <c r="B372" s="29"/>
      <c r="C372" s="5" t="s">
        <v>40</v>
      </c>
      <c r="D372" s="7">
        <v>400</v>
      </c>
      <c r="E372" s="31">
        <v>133230</v>
      </c>
      <c r="F372" s="29"/>
      <c r="G372" s="32">
        <v>45296</v>
      </c>
      <c r="H372" s="29"/>
      <c r="I372" s="5" t="s">
        <v>15</v>
      </c>
      <c r="J372" s="5" t="s">
        <v>30</v>
      </c>
      <c r="K372" s="5"/>
    </row>
    <row r="373" spans="1:11" ht="18.75" customHeight="1" x14ac:dyDescent="0.3">
      <c r="A373" s="30">
        <v>391</v>
      </c>
      <c r="B373" s="29"/>
      <c r="C373" s="5" t="s">
        <v>40</v>
      </c>
      <c r="D373" s="7">
        <v>383</v>
      </c>
      <c r="E373" s="31">
        <v>93192</v>
      </c>
      <c r="F373" s="29"/>
      <c r="G373" s="32">
        <v>45296</v>
      </c>
      <c r="H373" s="29"/>
      <c r="I373" s="5" t="s">
        <v>15</v>
      </c>
      <c r="J373" s="5" t="s">
        <v>30</v>
      </c>
      <c r="K373" s="5"/>
    </row>
    <row r="374" spans="1:11" ht="18.75" customHeight="1" x14ac:dyDescent="0.3">
      <c r="A374" s="30">
        <v>392</v>
      </c>
      <c r="B374" s="29"/>
      <c r="C374" s="5" t="s">
        <v>40</v>
      </c>
      <c r="D374" s="7">
        <v>658</v>
      </c>
      <c r="E374" s="31">
        <v>131310</v>
      </c>
      <c r="F374" s="29"/>
      <c r="G374" s="32">
        <v>45297</v>
      </c>
      <c r="H374" s="29"/>
      <c r="I374" s="5" t="s">
        <v>15</v>
      </c>
      <c r="J374" s="5" t="s">
        <v>30</v>
      </c>
      <c r="K374" s="5"/>
    </row>
    <row r="375" spans="1:11" ht="18.75" customHeight="1" x14ac:dyDescent="0.3">
      <c r="A375" s="30">
        <v>393</v>
      </c>
      <c r="B375" s="29"/>
      <c r="C375" s="5" t="s">
        <v>40</v>
      </c>
      <c r="D375" s="7">
        <v>382</v>
      </c>
      <c r="E375" s="31">
        <v>133238</v>
      </c>
      <c r="F375" s="29"/>
      <c r="G375" s="32">
        <v>45297</v>
      </c>
      <c r="H375" s="29"/>
      <c r="I375" s="5" t="s">
        <v>15</v>
      </c>
      <c r="J375" s="5" t="s">
        <v>30</v>
      </c>
      <c r="K375" s="5"/>
    </row>
    <row r="376" spans="1:11" ht="18.75" customHeight="1" x14ac:dyDescent="0.3">
      <c r="A376" s="30">
        <v>394</v>
      </c>
      <c r="B376" s="29"/>
      <c r="C376" s="5" t="s">
        <v>40</v>
      </c>
      <c r="D376" s="7">
        <v>412</v>
      </c>
      <c r="E376" s="31">
        <v>133241</v>
      </c>
      <c r="F376" s="29"/>
      <c r="G376" s="32">
        <v>45299</v>
      </c>
      <c r="H376" s="29"/>
      <c r="I376" s="5" t="s">
        <v>15</v>
      </c>
      <c r="J376" s="5" t="s">
        <v>30</v>
      </c>
      <c r="K376" s="5"/>
    </row>
    <row r="377" spans="1:11" ht="18.75" customHeight="1" x14ac:dyDescent="0.3">
      <c r="A377" s="30">
        <v>395</v>
      </c>
      <c r="B377" s="29"/>
      <c r="C377" s="5" t="s">
        <v>40</v>
      </c>
      <c r="D377" s="7">
        <v>400</v>
      </c>
      <c r="E377" s="31">
        <v>93200</v>
      </c>
      <c r="F377" s="29"/>
      <c r="G377" s="32">
        <v>45299</v>
      </c>
      <c r="H377" s="29"/>
      <c r="I377" s="5" t="s">
        <v>15</v>
      </c>
      <c r="J377" s="5" t="s">
        <v>30</v>
      </c>
      <c r="K377" s="5"/>
    </row>
    <row r="378" spans="1:11" ht="18.75" customHeight="1" x14ac:dyDescent="0.3">
      <c r="A378" s="30">
        <v>396</v>
      </c>
      <c r="B378" s="29"/>
      <c r="C378" s="5" t="s">
        <v>40</v>
      </c>
      <c r="D378" s="7">
        <v>455</v>
      </c>
      <c r="E378" s="31">
        <v>133301</v>
      </c>
      <c r="F378" s="29"/>
      <c r="G378" s="32">
        <v>45300</v>
      </c>
      <c r="H378" s="29"/>
      <c r="I378" s="5" t="s">
        <v>15</v>
      </c>
      <c r="J378" s="5" t="s">
        <v>30</v>
      </c>
      <c r="K378" s="5"/>
    </row>
    <row r="379" spans="1:11" ht="18.75" customHeight="1" x14ac:dyDescent="0.3">
      <c r="A379" s="30">
        <v>397</v>
      </c>
      <c r="B379" s="29"/>
      <c r="C379" s="5" t="s">
        <v>40</v>
      </c>
      <c r="D379" s="7">
        <v>360</v>
      </c>
      <c r="E379" s="31">
        <v>92736</v>
      </c>
      <c r="F379" s="29"/>
      <c r="G379" s="32">
        <v>45300</v>
      </c>
      <c r="H379" s="29"/>
      <c r="I379" s="5" t="s">
        <v>15</v>
      </c>
      <c r="J379" s="5" t="s">
        <v>30</v>
      </c>
      <c r="K379" s="5"/>
    </row>
    <row r="380" spans="1:11" ht="18.75" customHeight="1" x14ac:dyDescent="0.3">
      <c r="A380" s="30">
        <v>398</v>
      </c>
      <c r="B380" s="29"/>
      <c r="C380" s="5" t="s">
        <v>40</v>
      </c>
      <c r="D380" s="7">
        <v>368</v>
      </c>
      <c r="E380" s="31">
        <v>133306</v>
      </c>
      <c r="F380" s="29"/>
      <c r="G380" s="32">
        <v>45301</v>
      </c>
      <c r="H380" s="29"/>
      <c r="I380" s="5" t="s">
        <v>15</v>
      </c>
      <c r="J380" s="5" t="s">
        <v>30</v>
      </c>
      <c r="K380" s="5"/>
    </row>
    <row r="381" spans="1:11" ht="18.75" customHeight="1" x14ac:dyDescent="0.3">
      <c r="A381" s="30">
        <v>399</v>
      </c>
      <c r="B381" s="29"/>
      <c r="C381" s="5" t="s">
        <v>40</v>
      </c>
      <c r="D381" s="7">
        <v>521</v>
      </c>
      <c r="E381" s="31">
        <v>133311</v>
      </c>
      <c r="F381" s="29"/>
      <c r="G381" s="32">
        <v>45301</v>
      </c>
      <c r="H381" s="29"/>
      <c r="I381" s="5" t="s">
        <v>15</v>
      </c>
      <c r="J381" s="5" t="s">
        <v>30</v>
      </c>
      <c r="K381" s="5"/>
    </row>
    <row r="382" spans="1:11" ht="18.75" customHeight="1" x14ac:dyDescent="0.3">
      <c r="A382" s="30">
        <v>400</v>
      </c>
      <c r="B382" s="29"/>
      <c r="C382" s="5" t="s">
        <v>40</v>
      </c>
      <c r="D382" s="7">
        <v>356</v>
      </c>
      <c r="E382" s="31">
        <v>133786</v>
      </c>
      <c r="F382" s="29"/>
      <c r="G382" s="32">
        <v>45302</v>
      </c>
      <c r="H382" s="29"/>
      <c r="I382" s="5" t="s">
        <v>15</v>
      </c>
      <c r="J382" s="5" t="s">
        <v>30</v>
      </c>
      <c r="K382" s="5"/>
    </row>
    <row r="383" spans="1:11" ht="18.75" customHeight="1" x14ac:dyDescent="0.3">
      <c r="A383" s="30">
        <v>401</v>
      </c>
      <c r="B383" s="29"/>
      <c r="C383" s="5" t="s">
        <v>40</v>
      </c>
      <c r="D383" s="7">
        <v>525</v>
      </c>
      <c r="E383" s="31">
        <v>133318</v>
      </c>
      <c r="F383" s="29"/>
      <c r="G383" s="32">
        <v>45303</v>
      </c>
      <c r="H383" s="29"/>
      <c r="I383" s="5" t="s">
        <v>15</v>
      </c>
      <c r="J383" s="5" t="s">
        <v>30</v>
      </c>
      <c r="K383" s="5"/>
    </row>
    <row r="384" spans="1:11" ht="18.75" customHeight="1" x14ac:dyDescent="0.3">
      <c r="A384" s="30">
        <v>402</v>
      </c>
      <c r="B384" s="29"/>
      <c r="C384" s="5" t="s">
        <v>14</v>
      </c>
      <c r="D384" s="7">
        <v>172</v>
      </c>
      <c r="E384" s="31">
        <v>18755</v>
      </c>
      <c r="F384" s="29"/>
      <c r="G384" s="32">
        <v>45299</v>
      </c>
      <c r="H384" s="29"/>
      <c r="I384" s="5" t="s">
        <v>69</v>
      </c>
      <c r="J384" s="5" t="s">
        <v>77</v>
      </c>
      <c r="K384" s="5" t="s">
        <v>21</v>
      </c>
    </row>
    <row r="385" spans="1:11" ht="18.75" customHeight="1" x14ac:dyDescent="0.3">
      <c r="A385" s="30">
        <v>403</v>
      </c>
      <c r="B385" s="29"/>
      <c r="C385" s="5" t="s">
        <v>14</v>
      </c>
      <c r="D385" s="7">
        <v>173</v>
      </c>
      <c r="E385" s="31">
        <v>18770</v>
      </c>
      <c r="F385" s="29"/>
      <c r="G385" s="32">
        <v>45300</v>
      </c>
      <c r="H385" s="29"/>
      <c r="I385" s="5" t="s">
        <v>69</v>
      </c>
      <c r="J385" s="5" t="s">
        <v>77</v>
      </c>
      <c r="K385" s="5" t="s">
        <v>21</v>
      </c>
    </row>
    <row r="386" spans="1:11" ht="18.75" customHeight="1" x14ac:dyDescent="0.3">
      <c r="A386" s="30">
        <v>404</v>
      </c>
      <c r="B386" s="29"/>
      <c r="C386" s="5" t="s">
        <v>14</v>
      </c>
      <c r="D386" s="7">
        <v>203</v>
      </c>
      <c r="E386" s="31">
        <v>18781</v>
      </c>
      <c r="F386" s="29"/>
      <c r="G386" s="32">
        <v>45301</v>
      </c>
      <c r="H386" s="29"/>
      <c r="I386" s="5" t="s">
        <v>69</v>
      </c>
      <c r="J386" s="5" t="s">
        <v>78</v>
      </c>
      <c r="K386" s="5" t="s">
        <v>21</v>
      </c>
    </row>
    <row r="387" spans="1:11" ht="18.75" customHeight="1" x14ac:dyDescent="0.3">
      <c r="A387" s="30">
        <v>405</v>
      </c>
      <c r="B387" s="29"/>
      <c r="C387" s="5" t="s">
        <v>14</v>
      </c>
      <c r="D387" s="7">
        <v>186</v>
      </c>
      <c r="E387" s="31">
        <v>18793</v>
      </c>
      <c r="F387" s="29"/>
      <c r="G387" s="32">
        <v>45302</v>
      </c>
      <c r="H387" s="29"/>
      <c r="I387" s="5" t="s">
        <v>69</v>
      </c>
      <c r="J387" s="5" t="s">
        <v>77</v>
      </c>
      <c r="K387" s="5" t="s">
        <v>78</v>
      </c>
    </row>
    <row r="388" spans="1:11" ht="18.75" customHeight="1" x14ac:dyDescent="0.3">
      <c r="A388" s="30">
        <v>406</v>
      </c>
      <c r="B388" s="29"/>
      <c r="C388" s="5" t="s">
        <v>14</v>
      </c>
      <c r="D388" s="7">
        <v>182</v>
      </c>
      <c r="E388" s="31">
        <v>18701</v>
      </c>
      <c r="F388" s="29"/>
      <c r="G388" s="32">
        <v>45303</v>
      </c>
      <c r="H388" s="29"/>
      <c r="I388" s="5" t="s">
        <v>69</v>
      </c>
      <c r="J388" s="5" t="s">
        <v>77</v>
      </c>
      <c r="K388" s="5" t="s">
        <v>78</v>
      </c>
    </row>
    <row r="389" spans="1:11" ht="18.75" customHeight="1" x14ac:dyDescent="0.3">
      <c r="A389" s="30">
        <v>407</v>
      </c>
      <c r="B389" s="29"/>
      <c r="C389" s="5" t="s">
        <v>14</v>
      </c>
      <c r="D389" s="7">
        <v>180</v>
      </c>
      <c r="E389" s="31">
        <v>18719</v>
      </c>
      <c r="F389" s="29"/>
      <c r="G389" s="32">
        <v>45304</v>
      </c>
      <c r="H389" s="29"/>
      <c r="I389" s="5" t="s">
        <v>69</v>
      </c>
      <c r="J389" s="5" t="s">
        <v>77</v>
      </c>
      <c r="K389" s="5" t="s">
        <v>78</v>
      </c>
    </row>
    <row r="390" spans="1:11" ht="18.75" customHeight="1" x14ac:dyDescent="0.3">
      <c r="A390" s="30">
        <v>408</v>
      </c>
      <c r="B390" s="29"/>
      <c r="C390" s="5" t="s">
        <v>14</v>
      </c>
      <c r="D390" s="7">
        <v>128</v>
      </c>
      <c r="E390" s="31">
        <v>18477</v>
      </c>
      <c r="F390" s="29"/>
      <c r="G390" s="32">
        <v>45305</v>
      </c>
      <c r="H390" s="29"/>
      <c r="I390" s="5" t="s">
        <v>69</v>
      </c>
      <c r="J390" s="5" t="s">
        <v>77</v>
      </c>
      <c r="K390" s="5" t="s">
        <v>78</v>
      </c>
    </row>
    <row r="391" spans="1:11" ht="18.75" customHeight="1" x14ac:dyDescent="0.3">
      <c r="A391" s="30">
        <v>409</v>
      </c>
      <c r="B391" s="29"/>
      <c r="C391" s="5" t="s">
        <v>40</v>
      </c>
      <c r="D391" s="7">
        <v>525</v>
      </c>
      <c r="E391" s="31">
        <v>133321</v>
      </c>
      <c r="F391" s="29"/>
      <c r="G391" s="32">
        <v>45306</v>
      </c>
      <c r="H391" s="29"/>
      <c r="I391" s="5" t="s">
        <v>15</v>
      </c>
      <c r="J391" s="5" t="s">
        <v>30</v>
      </c>
      <c r="K391" s="5"/>
    </row>
    <row r="392" spans="1:11" ht="18.75" customHeight="1" x14ac:dyDescent="0.3">
      <c r="A392" s="30">
        <v>410</v>
      </c>
      <c r="B392" s="29"/>
      <c r="C392" s="5" t="s">
        <v>40</v>
      </c>
      <c r="D392" s="7">
        <v>726</v>
      </c>
      <c r="E392" s="31">
        <v>131333</v>
      </c>
      <c r="F392" s="29"/>
      <c r="G392" s="32">
        <v>45306</v>
      </c>
      <c r="H392" s="29"/>
      <c r="I392" s="5" t="s">
        <v>15</v>
      </c>
      <c r="J392" s="5" t="s">
        <v>30</v>
      </c>
      <c r="K392" s="5"/>
    </row>
    <row r="393" spans="1:11" ht="18.75" customHeight="1" x14ac:dyDescent="0.3">
      <c r="A393" s="30">
        <v>411</v>
      </c>
      <c r="B393" s="29"/>
      <c r="C393" s="5" t="s">
        <v>40</v>
      </c>
      <c r="D393" s="7">
        <v>460</v>
      </c>
      <c r="E393" s="31">
        <v>133326</v>
      </c>
      <c r="F393" s="29"/>
      <c r="G393" s="32">
        <v>45307</v>
      </c>
      <c r="H393" s="29"/>
      <c r="I393" s="5" t="s">
        <v>15</v>
      </c>
      <c r="J393" s="5" t="s">
        <v>30</v>
      </c>
      <c r="K393" s="5"/>
    </row>
    <row r="394" spans="1:11" ht="18.75" customHeight="1" x14ac:dyDescent="0.3">
      <c r="A394" s="30">
        <v>412</v>
      </c>
      <c r="B394" s="29"/>
      <c r="C394" s="5" t="s">
        <v>40</v>
      </c>
      <c r="D394" s="7">
        <v>528</v>
      </c>
      <c r="E394" s="31">
        <v>131363</v>
      </c>
      <c r="F394" s="29"/>
      <c r="G394" s="32">
        <v>45307</v>
      </c>
      <c r="H394" s="29"/>
      <c r="I394" s="5" t="s">
        <v>15</v>
      </c>
      <c r="J394" s="5" t="s">
        <v>30</v>
      </c>
      <c r="K394" s="5"/>
    </row>
    <row r="395" spans="1:11" ht="18.75" customHeight="1" x14ac:dyDescent="0.3">
      <c r="A395" s="30">
        <v>413</v>
      </c>
      <c r="B395" s="29"/>
      <c r="C395" s="5" t="s">
        <v>40</v>
      </c>
      <c r="D395" s="7">
        <v>460</v>
      </c>
      <c r="E395" s="31">
        <v>133330</v>
      </c>
      <c r="F395" s="29"/>
      <c r="G395" s="32">
        <v>45308</v>
      </c>
      <c r="H395" s="29"/>
      <c r="I395" s="5" t="s">
        <v>15</v>
      </c>
      <c r="J395" s="5" t="s">
        <v>30</v>
      </c>
      <c r="K395" s="5"/>
    </row>
    <row r="396" spans="1:11" ht="18.75" customHeight="1" x14ac:dyDescent="0.3">
      <c r="A396" s="30">
        <v>414</v>
      </c>
      <c r="B396" s="29"/>
      <c r="C396" s="5" t="s">
        <v>40</v>
      </c>
      <c r="D396" s="7">
        <v>270</v>
      </c>
      <c r="E396" s="31">
        <v>131377</v>
      </c>
      <c r="F396" s="29"/>
      <c r="G396" s="32">
        <v>45308</v>
      </c>
      <c r="H396" s="29"/>
      <c r="I396" s="5" t="s">
        <v>15</v>
      </c>
      <c r="J396" s="5" t="s">
        <v>30</v>
      </c>
      <c r="K396" s="5"/>
    </row>
    <row r="397" spans="1:11" ht="18.75" customHeight="1" x14ac:dyDescent="0.3">
      <c r="A397" s="30">
        <v>415</v>
      </c>
      <c r="B397" s="29"/>
      <c r="C397" s="5" t="s">
        <v>40</v>
      </c>
      <c r="D397" s="7">
        <v>525</v>
      </c>
      <c r="E397" s="31">
        <v>133335</v>
      </c>
      <c r="F397" s="29"/>
      <c r="G397" s="32">
        <v>45309</v>
      </c>
      <c r="H397" s="29"/>
      <c r="I397" s="5" t="s">
        <v>15</v>
      </c>
      <c r="J397" s="5" t="s">
        <v>30</v>
      </c>
      <c r="K397" s="5"/>
    </row>
    <row r="398" spans="1:11" ht="18.75" customHeight="1" x14ac:dyDescent="0.3">
      <c r="A398" s="30">
        <v>416</v>
      </c>
      <c r="B398" s="29"/>
      <c r="C398" s="5" t="s">
        <v>40</v>
      </c>
      <c r="D398" s="7">
        <v>383</v>
      </c>
      <c r="E398" s="31">
        <v>131389</v>
      </c>
      <c r="F398" s="29"/>
      <c r="G398" s="32">
        <v>45309</v>
      </c>
      <c r="H398" s="29"/>
      <c r="I398" s="5" t="s">
        <v>15</v>
      </c>
      <c r="J398" s="5" t="s">
        <v>30</v>
      </c>
      <c r="K398" s="5"/>
    </row>
    <row r="399" spans="1:11" ht="18.75" customHeight="1" x14ac:dyDescent="0.3">
      <c r="A399" s="30">
        <v>417</v>
      </c>
      <c r="B399" s="29"/>
      <c r="C399" s="5" t="s">
        <v>40</v>
      </c>
      <c r="D399" s="7">
        <v>320</v>
      </c>
      <c r="E399" s="31">
        <v>133803</v>
      </c>
      <c r="F399" s="29"/>
      <c r="G399" s="32">
        <v>45311</v>
      </c>
      <c r="H399" s="29"/>
      <c r="I399" s="5" t="s">
        <v>15</v>
      </c>
      <c r="J399" s="5" t="s">
        <v>30</v>
      </c>
      <c r="K399" s="5"/>
    </row>
    <row r="400" spans="1:11" ht="18.75" customHeight="1" x14ac:dyDescent="0.3">
      <c r="A400" s="30">
        <v>418</v>
      </c>
      <c r="B400" s="29"/>
      <c r="C400" s="5" t="s">
        <v>40</v>
      </c>
      <c r="D400" s="7">
        <v>400</v>
      </c>
      <c r="E400" s="31">
        <v>131401</v>
      </c>
      <c r="F400" s="29"/>
      <c r="G400" s="32">
        <v>45310</v>
      </c>
      <c r="H400" s="29"/>
      <c r="I400" s="5" t="s">
        <v>15</v>
      </c>
      <c r="J400" s="5" t="s">
        <v>30</v>
      </c>
      <c r="K400" s="5"/>
    </row>
    <row r="401" spans="1:11" ht="18.75" customHeight="1" x14ac:dyDescent="0.3">
      <c r="A401" s="30">
        <v>419</v>
      </c>
      <c r="B401" s="29"/>
      <c r="C401" s="5" t="s">
        <v>40</v>
      </c>
      <c r="D401" s="7">
        <v>400</v>
      </c>
      <c r="E401" s="31">
        <v>131419</v>
      </c>
      <c r="F401" s="29"/>
      <c r="G401" s="32">
        <v>45311</v>
      </c>
      <c r="H401" s="29"/>
      <c r="I401" s="5" t="s">
        <v>15</v>
      </c>
      <c r="J401" s="5" t="s">
        <v>30</v>
      </c>
      <c r="K401" s="5"/>
    </row>
    <row r="402" spans="1:11" ht="18.75" customHeight="1" x14ac:dyDescent="0.3">
      <c r="A402" s="30">
        <v>420</v>
      </c>
      <c r="B402" s="29"/>
      <c r="C402" s="5" t="s">
        <v>40</v>
      </c>
      <c r="D402" s="7">
        <v>322</v>
      </c>
      <c r="E402" s="31">
        <v>100886</v>
      </c>
      <c r="F402" s="29"/>
      <c r="G402" s="32">
        <v>45310</v>
      </c>
      <c r="H402" s="29"/>
      <c r="I402" s="5" t="s">
        <v>69</v>
      </c>
      <c r="J402" s="5" t="s">
        <v>77</v>
      </c>
      <c r="K402" s="5"/>
    </row>
    <row r="403" spans="1:11" ht="18.75" customHeight="1" x14ac:dyDescent="0.3">
      <c r="A403" s="30">
        <v>421</v>
      </c>
      <c r="B403" s="29"/>
      <c r="C403" s="5" t="s">
        <v>14</v>
      </c>
      <c r="D403" s="7">
        <v>214</v>
      </c>
      <c r="E403" s="31">
        <v>18481</v>
      </c>
      <c r="F403" s="29"/>
      <c r="G403" s="32">
        <v>45306</v>
      </c>
      <c r="H403" s="29"/>
      <c r="I403" s="5" t="s">
        <v>69</v>
      </c>
      <c r="J403" s="5" t="s">
        <v>76</v>
      </c>
      <c r="K403" s="5" t="s">
        <v>52</v>
      </c>
    </row>
    <row r="404" spans="1:11" ht="18.75" customHeight="1" x14ac:dyDescent="0.3">
      <c r="A404" s="30">
        <v>422</v>
      </c>
      <c r="B404" s="29"/>
      <c r="C404" s="5" t="s">
        <v>14</v>
      </c>
      <c r="D404" s="7">
        <v>209</v>
      </c>
      <c r="E404" s="31">
        <v>18462</v>
      </c>
      <c r="F404" s="29"/>
      <c r="G404" s="32">
        <v>45307</v>
      </c>
      <c r="H404" s="29"/>
      <c r="I404" s="5" t="s">
        <v>69</v>
      </c>
      <c r="J404" s="5" t="s">
        <v>76</v>
      </c>
      <c r="K404" s="5" t="s">
        <v>52</v>
      </c>
    </row>
    <row r="405" spans="1:11" ht="18.75" customHeight="1" x14ac:dyDescent="0.3">
      <c r="A405" s="30">
        <v>423</v>
      </c>
      <c r="B405" s="29"/>
      <c r="C405" s="5" t="s">
        <v>14</v>
      </c>
      <c r="D405" s="7">
        <v>208</v>
      </c>
      <c r="E405" s="31">
        <v>18493</v>
      </c>
      <c r="F405" s="29"/>
      <c r="G405" s="32">
        <v>45308</v>
      </c>
      <c r="H405" s="29"/>
      <c r="I405" s="5" t="s">
        <v>69</v>
      </c>
      <c r="J405" s="5" t="s">
        <v>76</v>
      </c>
      <c r="K405" s="5" t="s">
        <v>52</v>
      </c>
    </row>
    <row r="406" spans="1:11" ht="18.75" customHeight="1" x14ac:dyDescent="0.3">
      <c r="A406" s="30">
        <v>424</v>
      </c>
      <c r="B406" s="29"/>
      <c r="C406" s="5" t="s">
        <v>14</v>
      </c>
      <c r="D406" s="7">
        <v>194</v>
      </c>
      <c r="E406" s="31">
        <v>18463</v>
      </c>
      <c r="F406" s="29"/>
      <c r="G406" s="32">
        <v>45309</v>
      </c>
      <c r="H406" s="29"/>
      <c r="I406" s="5" t="s">
        <v>69</v>
      </c>
      <c r="J406" s="5" t="s">
        <v>76</v>
      </c>
      <c r="K406" s="5" t="s">
        <v>52</v>
      </c>
    </row>
    <row r="407" spans="1:11" ht="18.75" customHeight="1" x14ac:dyDescent="0.3">
      <c r="A407" s="30">
        <v>425</v>
      </c>
      <c r="B407" s="29"/>
      <c r="C407" s="5" t="s">
        <v>14</v>
      </c>
      <c r="D407" s="7">
        <v>151</v>
      </c>
      <c r="E407" s="31">
        <v>18508</v>
      </c>
      <c r="F407" s="29"/>
      <c r="G407" s="32">
        <v>45310</v>
      </c>
      <c r="H407" s="29"/>
      <c r="I407" s="5" t="s">
        <v>69</v>
      </c>
      <c r="J407" s="5" t="s">
        <v>76</v>
      </c>
      <c r="K407" s="5" t="s">
        <v>52</v>
      </c>
    </row>
    <row r="408" spans="1:11" ht="18.75" customHeight="1" x14ac:dyDescent="0.3">
      <c r="A408" s="30">
        <v>426</v>
      </c>
      <c r="B408" s="29"/>
      <c r="C408" s="5" t="s">
        <v>14</v>
      </c>
      <c r="D408" s="7">
        <v>162</v>
      </c>
      <c r="E408" s="31">
        <v>18473</v>
      </c>
      <c r="F408" s="29"/>
      <c r="G408" s="32">
        <v>45311</v>
      </c>
      <c r="H408" s="29"/>
      <c r="I408" s="5" t="s">
        <v>69</v>
      </c>
      <c r="J408" s="5" t="s">
        <v>76</v>
      </c>
      <c r="K408" s="5" t="s">
        <v>52</v>
      </c>
    </row>
    <row r="409" spans="1:11" ht="18.75" customHeight="1" x14ac:dyDescent="0.3">
      <c r="A409" s="30">
        <v>427</v>
      </c>
      <c r="B409" s="29"/>
      <c r="C409" s="5" t="s">
        <v>14</v>
      </c>
      <c r="D409" s="7">
        <v>171</v>
      </c>
      <c r="E409" s="31">
        <v>18734</v>
      </c>
      <c r="F409" s="29"/>
      <c r="G409" s="32">
        <v>45312</v>
      </c>
      <c r="H409" s="29"/>
      <c r="I409" s="5" t="s">
        <v>69</v>
      </c>
      <c r="J409" s="5" t="s">
        <v>76</v>
      </c>
      <c r="K409" s="5" t="s">
        <v>52</v>
      </c>
    </row>
    <row r="410" spans="1:11" ht="18.75" customHeight="1" x14ac:dyDescent="0.3">
      <c r="A410" s="30">
        <v>428</v>
      </c>
      <c r="B410" s="29"/>
      <c r="C410" s="5" t="s">
        <v>40</v>
      </c>
      <c r="D410" s="7">
        <v>400</v>
      </c>
      <c r="E410" s="31">
        <v>131421</v>
      </c>
      <c r="F410" s="29"/>
      <c r="G410" s="32">
        <v>45313</v>
      </c>
      <c r="H410" s="29"/>
      <c r="I410" s="5" t="s">
        <v>15</v>
      </c>
      <c r="J410" s="5" t="s">
        <v>30</v>
      </c>
      <c r="K410" s="5"/>
    </row>
    <row r="411" spans="1:11" ht="18.75" customHeight="1" x14ac:dyDescent="0.3">
      <c r="A411" s="30">
        <v>429</v>
      </c>
      <c r="B411" s="29"/>
      <c r="C411" s="5" t="s">
        <v>40</v>
      </c>
      <c r="D411" s="7">
        <v>400</v>
      </c>
      <c r="E411" s="31">
        <v>131428</v>
      </c>
      <c r="F411" s="29"/>
      <c r="G411" s="32">
        <v>45313</v>
      </c>
      <c r="H411" s="29"/>
      <c r="I411" s="5" t="s">
        <v>15</v>
      </c>
      <c r="J411" s="5" t="s">
        <v>30</v>
      </c>
      <c r="K411" s="5"/>
    </row>
    <row r="412" spans="1:11" ht="18.75" customHeight="1" x14ac:dyDescent="0.3">
      <c r="A412" s="30">
        <v>430</v>
      </c>
      <c r="B412" s="29"/>
      <c r="C412" s="5" t="s">
        <v>40</v>
      </c>
      <c r="D412" s="7">
        <v>685</v>
      </c>
      <c r="E412" s="31">
        <v>131437</v>
      </c>
      <c r="F412" s="29"/>
      <c r="G412" s="32">
        <v>45314</v>
      </c>
      <c r="H412" s="29"/>
      <c r="I412" s="5" t="s">
        <v>15</v>
      </c>
      <c r="J412" s="5" t="s">
        <v>30</v>
      </c>
      <c r="K412" s="5"/>
    </row>
    <row r="413" spans="1:11" ht="18.75" customHeight="1" x14ac:dyDescent="0.3">
      <c r="A413" s="30">
        <v>431</v>
      </c>
      <c r="B413" s="29"/>
      <c r="C413" s="5" t="s">
        <v>40</v>
      </c>
      <c r="D413" s="7">
        <v>400</v>
      </c>
      <c r="E413" s="31">
        <v>131442</v>
      </c>
      <c r="F413" s="29"/>
      <c r="G413" s="32">
        <v>45314</v>
      </c>
      <c r="H413" s="29"/>
      <c r="I413" s="5" t="s">
        <v>15</v>
      </c>
      <c r="J413" s="5" t="s">
        <v>30</v>
      </c>
      <c r="K413" s="5"/>
    </row>
    <row r="414" spans="1:11" ht="18.75" customHeight="1" x14ac:dyDescent="0.3">
      <c r="A414" s="30">
        <v>432</v>
      </c>
      <c r="B414" s="29"/>
      <c r="C414" s="5" t="s">
        <v>40</v>
      </c>
      <c r="D414" s="7">
        <v>400</v>
      </c>
      <c r="E414" s="31">
        <v>131001</v>
      </c>
      <c r="F414" s="29"/>
      <c r="G414" s="32">
        <v>45315</v>
      </c>
      <c r="H414" s="29"/>
      <c r="I414" s="5" t="s">
        <v>15</v>
      </c>
      <c r="J414" s="5" t="s">
        <v>30</v>
      </c>
      <c r="K414" s="5"/>
    </row>
    <row r="415" spans="1:11" ht="18.75" customHeight="1" x14ac:dyDescent="0.3">
      <c r="A415" s="30">
        <v>433</v>
      </c>
      <c r="B415" s="29"/>
      <c r="C415" s="5" t="s">
        <v>40</v>
      </c>
      <c r="D415" s="7">
        <v>508</v>
      </c>
      <c r="E415" s="31">
        <v>131455</v>
      </c>
      <c r="F415" s="29"/>
      <c r="G415" s="32">
        <v>45315</v>
      </c>
      <c r="H415" s="29"/>
      <c r="I415" s="5" t="s">
        <v>15</v>
      </c>
      <c r="J415" s="5" t="s">
        <v>30</v>
      </c>
      <c r="K415" s="5"/>
    </row>
    <row r="416" spans="1:11" ht="18.75" customHeight="1" x14ac:dyDescent="0.3">
      <c r="A416" s="30">
        <v>434</v>
      </c>
      <c r="B416" s="29"/>
      <c r="C416" s="5" t="s">
        <v>40</v>
      </c>
      <c r="D416" s="7">
        <v>425</v>
      </c>
      <c r="E416" s="31">
        <v>131016</v>
      </c>
      <c r="F416" s="29"/>
      <c r="G416" s="32">
        <v>45316</v>
      </c>
      <c r="H416" s="29"/>
      <c r="I416" s="5" t="s">
        <v>15</v>
      </c>
      <c r="J416" s="5" t="s">
        <v>30</v>
      </c>
      <c r="K416" s="5"/>
    </row>
    <row r="417" spans="1:11" ht="18.75" customHeight="1" x14ac:dyDescent="0.3">
      <c r="A417" s="30">
        <v>435</v>
      </c>
      <c r="B417" s="29"/>
      <c r="C417" s="5" t="s">
        <v>40</v>
      </c>
      <c r="D417" s="7">
        <v>383</v>
      </c>
      <c r="E417" s="31">
        <v>131027</v>
      </c>
      <c r="F417" s="29"/>
      <c r="G417" s="32">
        <v>45316</v>
      </c>
      <c r="H417" s="29"/>
      <c r="I417" s="5" t="s">
        <v>15</v>
      </c>
      <c r="J417" s="5" t="s">
        <v>30</v>
      </c>
      <c r="K417" s="5"/>
    </row>
    <row r="418" spans="1:11" ht="18.75" customHeight="1" x14ac:dyDescent="0.3">
      <c r="A418" s="30">
        <v>436</v>
      </c>
      <c r="B418" s="29"/>
      <c r="C418" s="5" t="s">
        <v>40</v>
      </c>
      <c r="D418" s="7">
        <v>522</v>
      </c>
      <c r="E418" s="31">
        <v>131460</v>
      </c>
      <c r="F418" s="29"/>
      <c r="G418" s="32">
        <v>45317</v>
      </c>
      <c r="H418" s="29"/>
      <c r="I418" s="5" t="s">
        <v>15</v>
      </c>
      <c r="J418" s="5" t="s">
        <v>30</v>
      </c>
      <c r="K418" s="5"/>
    </row>
    <row r="419" spans="1:11" ht="18.75" customHeight="1" x14ac:dyDescent="0.3">
      <c r="A419" s="30">
        <v>437</v>
      </c>
      <c r="B419" s="29"/>
      <c r="C419" s="5" t="s">
        <v>40</v>
      </c>
      <c r="D419" s="7">
        <v>400</v>
      </c>
      <c r="E419" s="31">
        <v>131037</v>
      </c>
      <c r="F419" s="29"/>
      <c r="G419" s="32">
        <v>45317</v>
      </c>
      <c r="H419" s="29"/>
      <c r="I419" s="5" t="s">
        <v>15</v>
      </c>
      <c r="J419" s="5" t="s">
        <v>30</v>
      </c>
      <c r="K419" s="5"/>
    </row>
    <row r="420" spans="1:11" ht="18.75" customHeight="1" x14ac:dyDescent="0.3">
      <c r="A420" s="30">
        <v>438</v>
      </c>
      <c r="B420" s="29"/>
      <c r="C420" s="5" t="s">
        <v>40</v>
      </c>
      <c r="D420" s="7">
        <v>360</v>
      </c>
      <c r="E420" s="31">
        <v>131464</v>
      </c>
      <c r="F420" s="29"/>
      <c r="G420" s="32">
        <v>45318</v>
      </c>
      <c r="H420" s="29"/>
      <c r="I420" s="5" t="s">
        <v>15</v>
      </c>
      <c r="J420" s="5" t="s">
        <v>30</v>
      </c>
      <c r="K420" s="5"/>
    </row>
    <row r="421" spans="1:11" ht="18.75" customHeight="1" x14ac:dyDescent="0.3">
      <c r="A421" s="30">
        <v>439</v>
      </c>
      <c r="B421" s="29"/>
      <c r="C421" s="5" t="s">
        <v>40</v>
      </c>
      <c r="D421" s="7">
        <v>520</v>
      </c>
      <c r="E421" s="31">
        <v>131055</v>
      </c>
      <c r="F421" s="29"/>
      <c r="G421" s="32">
        <v>45318</v>
      </c>
      <c r="H421" s="29"/>
      <c r="I421" s="5" t="s">
        <v>15</v>
      </c>
      <c r="J421" s="5" t="s">
        <v>30</v>
      </c>
      <c r="K421" s="5"/>
    </row>
    <row r="422" spans="1:11" ht="18.75" customHeight="1" x14ac:dyDescent="0.3">
      <c r="A422" s="30">
        <v>440</v>
      </c>
      <c r="B422" s="29"/>
      <c r="C422" s="5" t="s">
        <v>14</v>
      </c>
      <c r="D422" s="7">
        <v>195</v>
      </c>
      <c r="E422" s="31">
        <v>18732</v>
      </c>
      <c r="F422" s="29"/>
      <c r="G422" s="32">
        <v>45313</v>
      </c>
      <c r="H422" s="29"/>
      <c r="I422" s="5" t="s">
        <v>69</v>
      </c>
      <c r="J422" s="5" t="s">
        <v>76</v>
      </c>
      <c r="K422" s="5" t="s">
        <v>52</v>
      </c>
    </row>
    <row r="423" spans="1:11" ht="18.75" customHeight="1" x14ac:dyDescent="0.3">
      <c r="A423" s="30">
        <v>441</v>
      </c>
      <c r="B423" s="29"/>
      <c r="C423" s="5" t="s">
        <v>14</v>
      </c>
      <c r="D423" s="7">
        <v>167</v>
      </c>
      <c r="E423" s="31">
        <v>95075</v>
      </c>
      <c r="F423" s="29"/>
      <c r="G423" s="32">
        <v>45314</v>
      </c>
      <c r="H423" s="29"/>
      <c r="I423" s="5" t="s">
        <v>69</v>
      </c>
      <c r="J423" s="5" t="s">
        <v>76</v>
      </c>
      <c r="K423" s="5" t="s">
        <v>52</v>
      </c>
    </row>
    <row r="424" spans="1:11" ht="18.75" customHeight="1" x14ac:dyDescent="0.3">
      <c r="A424" s="30">
        <v>442</v>
      </c>
      <c r="B424" s="29"/>
      <c r="C424" s="5" t="s">
        <v>14</v>
      </c>
      <c r="D424" s="7">
        <v>190</v>
      </c>
      <c r="E424" s="31">
        <v>18524</v>
      </c>
      <c r="F424" s="29"/>
      <c r="G424" s="32">
        <v>45315</v>
      </c>
      <c r="H424" s="29"/>
      <c r="I424" s="5" t="s">
        <v>69</v>
      </c>
      <c r="J424" s="5" t="s">
        <v>76</v>
      </c>
      <c r="K424" s="5" t="s">
        <v>52</v>
      </c>
    </row>
    <row r="425" spans="1:11" ht="18.75" customHeight="1" x14ac:dyDescent="0.3">
      <c r="A425" s="30">
        <v>443</v>
      </c>
      <c r="B425" s="29"/>
      <c r="C425" s="5" t="s">
        <v>14</v>
      </c>
      <c r="D425" s="7">
        <v>250</v>
      </c>
      <c r="E425" s="31">
        <v>18745</v>
      </c>
      <c r="F425" s="29"/>
      <c r="G425" s="32">
        <v>45316</v>
      </c>
      <c r="H425" s="29"/>
      <c r="I425" s="5" t="s">
        <v>69</v>
      </c>
      <c r="J425" s="5" t="s">
        <v>76</v>
      </c>
      <c r="K425" s="5" t="s">
        <v>52</v>
      </c>
    </row>
    <row r="426" spans="1:11" ht="18.75" customHeight="1" x14ac:dyDescent="0.3">
      <c r="A426" s="30">
        <v>444</v>
      </c>
      <c r="B426" s="29"/>
      <c r="C426" s="5" t="s">
        <v>14</v>
      </c>
      <c r="D426" s="7">
        <v>247</v>
      </c>
      <c r="E426" s="31">
        <v>18655</v>
      </c>
      <c r="F426" s="29"/>
      <c r="G426" s="32">
        <v>45317</v>
      </c>
      <c r="H426" s="29"/>
      <c r="I426" s="5" t="s">
        <v>69</v>
      </c>
      <c r="J426" s="5" t="s">
        <v>76</v>
      </c>
      <c r="K426" s="5" t="s">
        <v>52</v>
      </c>
    </row>
    <row r="427" spans="1:11" ht="18.75" customHeight="1" x14ac:dyDescent="0.3">
      <c r="A427" s="30">
        <v>445</v>
      </c>
      <c r="B427" s="29"/>
      <c r="C427" s="5" t="s">
        <v>14</v>
      </c>
      <c r="D427" s="7">
        <v>264</v>
      </c>
      <c r="E427" s="31">
        <v>18661</v>
      </c>
      <c r="F427" s="29"/>
      <c r="G427" s="32">
        <v>45318</v>
      </c>
      <c r="H427" s="29"/>
      <c r="I427" s="5" t="s">
        <v>69</v>
      </c>
      <c r="J427" s="5" t="s">
        <v>76</v>
      </c>
      <c r="K427" s="5" t="s">
        <v>52</v>
      </c>
    </row>
    <row r="428" spans="1:11" ht="18.75" customHeight="1" x14ac:dyDescent="0.3">
      <c r="A428" s="30">
        <v>446</v>
      </c>
      <c r="B428" s="29"/>
      <c r="C428" s="5" t="s">
        <v>14</v>
      </c>
      <c r="D428" s="7">
        <v>227</v>
      </c>
      <c r="E428" s="31">
        <v>18664</v>
      </c>
      <c r="F428" s="29"/>
      <c r="G428" s="32">
        <v>45319</v>
      </c>
      <c r="H428" s="29"/>
      <c r="I428" s="5" t="s">
        <v>69</v>
      </c>
      <c r="J428" s="5" t="s">
        <v>76</v>
      </c>
      <c r="K428" s="5" t="s">
        <v>52</v>
      </c>
    </row>
    <row r="429" spans="1:11" ht="18.75" customHeight="1" x14ac:dyDescent="0.3">
      <c r="A429" s="30">
        <v>447</v>
      </c>
      <c r="B429" s="29"/>
      <c r="C429" s="5" t="s">
        <v>40</v>
      </c>
      <c r="D429" s="7">
        <v>525</v>
      </c>
      <c r="E429" s="31">
        <v>131473</v>
      </c>
      <c r="F429" s="29"/>
      <c r="G429" s="32">
        <v>45320</v>
      </c>
      <c r="H429" s="29"/>
      <c r="I429" s="5" t="s">
        <v>15</v>
      </c>
      <c r="J429" s="5" t="s">
        <v>30</v>
      </c>
      <c r="K429" s="5"/>
    </row>
    <row r="430" spans="1:11" ht="18.75" customHeight="1" x14ac:dyDescent="0.3">
      <c r="A430" s="30">
        <v>448</v>
      </c>
      <c r="B430" s="29"/>
      <c r="C430" s="5" t="s">
        <v>40</v>
      </c>
      <c r="D430" s="7">
        <v>364</v>
      </c>
      <c r="E430" s="31">
        <v>133819</v>
      </c>
      <c r="F430" s="29"/>
      <c r="G430" s="32">
        <v>45320</v>
      </c>
      <c r="H430" s="29"/>
      <c r="I430" s="5" t="s">
        <v>15</v>
      </c>
      <c r="J430" s="5" t="s">
        <v>30</v>
      </c>
      <c r="K430" s="5"/>
    </row>
    <row r="431" spans="1:11" ht="18.75" customHeight="1" x14ac:dyDescent="0.3">
      <c r="A431" s="30">
        <v>449</v>
      </c>
      <c r="B431" s="29"/>
      <c r="C431" s="5" t="s">
        <v>40</v>
      </c>
      <c r="D431" s="7">
        <v>519</v>
      </c>
      <c r="E431" s="31">
        <v>131479</v>
      </c>
      <c r="F431" s="29"/>
      <c r="G431" s="32">
        <v>45321</v>
      </c>
      <c r="H431" s="29"/>
      <c r="I431" s="5" t="s">
        <v>15</v>
      </c>
      <c r="J431" s="5" t="s">
        <v>30</v>
      </c>
      <c r="K431" s="5"/>
    </row>
    <row r="432" spans="1:11" ht="18.75" customHeight="1" x14ac:dyDescent="0.3">
      <c r="A432" s="30">
        <v>450</v>
      </c>
      <c r="B432" s="29"/>
      <c r="C432" s="5" t="s">
        <v>40</v>
      </c>
      <c r="D432" s="7">
        <v>400</v>
      </c>
      <c r="E432" s="31">
        <v>92741</v>
      </c>
      <c r="F432" s="29"/>
      <c r="G432" s="32">
        <v>45321</v>
      </c>
      <c r="H432" s="29"/>
      <c r="I432" s="5" t="s">
        <v>15</v>
      </c>
      <c r="J432" s="5" t="s">
        <v>30</v>
      </c>
      <c r="K432" s="5"/>
    </row>
    <row r="433" spans="1:11" ht="18.75" customHeight="1" x14ac:dyDescent="0.3">
      <c r="A433" s="30">
        <v>451</v>
      </c>
      <c r="B433" s="29"/>
      <c r="C433" s="5" t="s">
        <v>40</v>
      </c>
      <c r="D433" s="7">
        <v>300</v>
      </c>
      <c r="E433" s="31">
        <v>133828</v>
      </c>
      <c r="F433" s="29"/>
      <c r="G433" s="32">
        <v>45321</v>
      </c>
      <c r="H433" s="29"/>
      <c r="I433" s="5" t="s">
        <v>15</v>
      </c>
      <c r="J433" s="5" t="s">
        <v>30</v>
      </c>
      <c r="K433" s="5"/>
    </row>
    <row r="434" spans="1:11" ht="18.75" customHeight="1" x14ac:dyDescent="0.3">
      <c r="A434" s="30">
        <v>452</v>
      </c>
      <c r="B434" s="29"/>
      <c r="C434" s="5" t="s">
        <v>40</v>
      </c>
      <c r="D434" s="7">
        <v>488</v>
      </c>
      <c r="E434" s="31">
        <v>131070</v>
      </c>
      <c r="F434" s="29"/>
      <c r="G434" s="32">
        <v>45322</v>
      </c>
      <c r="H434" s="29"/>
      <c r="I434" s="5" t="s">
        <v>15</v>
      </c>
      <c r="J434" s="5" t="s">
        <v>30</v>
      </c>
      <c r="K434" s="5"/>
    </row>
    <row r="435" spans="1:11" ht="18.75" customHeight="1" x14ac:dyDescent="0.3">
      <c r="A435" s="30">
        <v>453</v>
      </c>
      <c r="B435" s="29"/>
      <c r="C435" s="5" t="s">
        <v>40</v>
      </c>
      <c r="D435" s="7">
        <v>483</v>
      </c>
      <c r="E435" s="31">
        <v>133831</v>
      </c>
      <c r="F435" s="29"/>
      <c r="G435" s="32">
        <v>45322</v>
      </c>
      <c r="H435" s="29"/>
      <c r="I435" s="5" t="s">
        <v>15</v>
      </c>
      <c r="J435" s="5" t="s">
        <v>30</v>
      </c>
      <c r="K435" s="5"/>
    </row>
    <row r="436" spans="1:11" ht="18.75" customHeight="1" x14ac:dyDescent="0.3">
      <c r="A436" s="30">
        <v>454</v>
      </c>
      <c r="B436" s="29"/>
      <c r="C436" s="5" t="s">
        <v>40</v>
      </c>
      <c r="D436" s="7">
        <v>501</v>
      </c>
      <c r="E436" s="31">
        <v>131491</v>
      </c>
      <c r="F436" s="29"/>
      <c r="G436" s="32">
        <v>45323</v>
      </c>
      <c r="H436" s="29"/>
      <c r="I436" s="5" t="s">
        <v>15</v>
      </c>
      <c r="J436" s="5" t="s">
        <v>30</v>
      </c>
      <c r="K436" s="5"/>
    </row>
    <row r="437" spans="1:11" ht="18.75" customHeight="1" x14ac:dyDescent="0.3">
      <c r="A437" s="30">
        <v>455</v>
      </c>
      <c r="B437" s="29"/>
      <c r="C437" s="5" t="s">
        <v>40</v>
      </c>
      <c r="D437" s="7">
        <v>383</v>
      </c>
      <c r="E437" s="31">
        <v>92750</v>
      </c>
      <c r="F437" s="29"/>
      <c r="G437" s="32">
        <v>45323</v>
      </c>
      <c r="H437" s="29"/>
      <c r="I437" s="5" t="s">
        <v>15</v>
      </c>
      <c r="J437" s="5" t="s">
        <v>30</v>
      </c>
      <c r="K437" s="5"/>
    </row>
    <row r="438" spans="1:11" ht="18.75" customHeight="1" x14ac:dyDescent="0.3">
      <c r="A438" s="30">
        <v>456</v>
      </c>
      <c r="B438" s="29"/>
      <c r="C438" s="5" t="s">
        <v>40</v>
      </c>
      <c r="D438" s="7">
        <v>522</v>
      </c>
      <c r="E438" s="31">
        <v>131497</v>
      </c>
      <c r="F438" s="29"/>
      <c r="G438" s="32">
        <v>45324</v>
      </c>
      <c r="H438" s="29"/>
      <c r="I438" s="5" t="s">
        <v>15</v>
      </c>
      <c r="J438" s="5" t="s">
        <v>30</v>
      </c>
      <c r="K438" s="5"/>
    </row>
    <row r="439" spans="1:11" ht="18.75" customHeight="1" x14ac:dyDescent="0.3">
      <c r="A439" s="30">
        <v>457</v>
      </c>
      <c r="B439" s="29"/>
      <c r="C439" s="5" t="s">
        <v>40</v>
      </c>
      <c r="D439" s="7">
        <v>393</v>
      </c>
      <c r="E439" s="31">
        <v>131085</v>
      </c>
      <c r="F439" s="29"/>
      <c r="G439" s="32">
        <v>45324</v>
      </c>
      <c r="H439" s="29"/>
      <c r="I439" s="5" t="s">
        <v>15</v>
      </c>
      <c r="J439" s="5" t="s">
        <v>30</v>
      </c>
      <c r="K439" s="5"/>
    </row>
    <row r="440" spans="1:11" ht="18.75" customHeight="1" x14ac:dyDescent="0.3">
      <c r="A440" s="30">
        <v>458</v>
      </c>
      <c r="B440" s="29"/>
      <c r="C440" s="5" t="s">
        <v>40</v>
      </c>
      <c r="D440" s="7">
        <v>290</v>
      </c>
      <c r="E440" s="31">
        <v>133248</v>
      </c>
      <c r="F440" s="29"/>
      <c r="G440" s="32">
        <v>45325</v>
      </c>
      <c r="H440" s="29"/>
      <c r="I440" s="5" t="s">
        <v>15</v>
      </c>
      <c r="J440" s="5" t="s">
        <v>30</v>
      </c>
      <c r="K440" s="5"/>
    </row>
    <row r="441" spans="1:11" ht="18.75" customHeight="1" x14ac:dyDescent="0.3">
      <c r="A441" s="30">
        <v>459</v>
      </c>
      <c r="B441" s="29"/>
      <c r="C441" s="5" t="s">
        <v>40</v>
      </c>
      <c r="D441" s="7">
        <v>405</v>
      </c>
      <c r="E441" s="31">
        <v>131089</v>
      </c>
      <c r="F441" s="29"/>
      <c r="G441" s="32">
        <v>45325</v>
      </c>
      <c r="H441" s="29"/>
      <c r="I441" s="5" t="s">
        <v>15</v>
      </c>
      <c r="J441" s="5" t="s">
        <v>30</v>
      </c>
      <c r="K441" s="5"/>
    </row>
    <row r="442" spans="1:11" ht="18.75" customHeight="1" x14ac:dyDescent="0.3">
      <c r="A442" s="30">
        <v>460</v>
      </c>
      <c r="B442" s="29"/>
      <c r="C442" s="5" t="s">
        <v>14</v>
      </c>
      <c r="D442" s="7">
        <v>226</v>
      </c>
      <c r="E442" s="31">
        <v>18688</v>
      </c>
      <c r="F442" s="29"/>
      <c r="G442" s="32">
        <v>45320</v>
      </c>
      <c r="H442" s="29"/>
      <c r="I442" s="5" t="s">
        <v>69</v>
      </c>
      <c r="J442" s="5" t="s">
        <v>77</v>
      </c>
      <c r="K442" s="5"/>
    </row>
    <row r="443" spans="1:11" ht="18.75" customHeight="1" x14ac:dyDescent="0.3">
      <c r="A443" s="30">
        <v>461</v>
      </c>
      <c r="B443" s="29"/>
      <c r="C443" s="5" t="s">
        <v>14</v>
      </c>
      <c r="D443" s="7">
        <v>274</v>
      </c>
      <c r="E443" s="31">
        <v>95187</v>
      </c>
      <c r="F443" s="29"/>
      <c r="G443" s="32">
        <v>45321</v>
      </c>
      <c r="H443" s="29"/>
      <c r="I443" s="5" t="s">
        <v>69</v>
      </c>
      <c r="J443" s="5" t="s">
        <v>77</v>
      </c>
      <c r="K443" s="5"/>
    </row>
    <row r="444" spans="1:11" ht="18.75" customHeight="1" x14ac:dyDescent="0.3">
      <c r="A444" s="30">
        <v>462</v>
      </c>
      <c r="B444" s="29"/>
      <c r="C444" s="5" t="s">
        <v>14</v>
      </c>
      <c r="D444" s="7">
        <v>226</v>
      </c>
      <c r="E444" s="31">
        <v>18680</v>
      </c>
      <c r="F444" s="29"/>
      <c r="G444" s="32">
        <v>45322</v>
      </c>
      <c r="H444" s="29"/>
      <c r="I444" s="5" t="s">
        <v>69</v>
      </c>
      <c r="J444" s="5" t="s">
        <v>77</v>
      </c>
      <c r="K444" s="5"/>
    </row>
    <row r="445" spans="1:11" ht="18.75" customHeight="1" x14ac:dyDescent="0.3">
      <c r="A445" s="30">
        <v>463</v>
      </c>
      <c r="B445" s="29"/>
      <c r="C445" s="5" t="s">
        <v>14</v>
      </c>
      <c r="D445" s="7">
        <v>205</v>
      </c>
      <c r="E445" s="31">
        <v>18544</v>
      </c>
      <c r="F445" s="29"/>
      <c r="G445" s="32">
        <v>45323</v>
      </c>
      <c r="H445" s="29"/>
      <c r="I445" s="5" t="s">
        <v>69</v>
      </c>
      <c r="J445" s="5" t="s">
        <v>77</v>
      </c>
      <c r="K445" s="5"/>
    </row>
    <row r="446" spans="1:11" ht="18.75" customHeight="1" x14ac:dyDescent="0.3">
      <c r="A446" s="30">
        <v>464</v>
      </c>
      <c r="B446" s="29"/>
      <c r="C446" s="5" t="s">
        <v>14</v>
      </c>
      <c r="D446" s="7">
        <v>241</v>
      </c>
      <c r="E446" s="31">
        <v>18696</v>
      </c>
      <c r="F446" s="29"/>
      <c r="G446" s="32">
        <v>45324</v>
      </c>
      <c r="H446" s="29"/>
      <c r="I446" s="5" t="s">
        <v>69</v>
      </c>
      <c r="J446" s="5" t="s">
        <v>77</v>
      </c>
      <c r="K446" s="5"/>
    </row>
    <row r="447" spans="1:11" ht="18.75" customHeight="1" x14ac:dyDescent="0.3">
      <c r="A447" s="30">
        <v>465</v>
      </c>
      <c r="B447" s="29"/>
      <c r="C447" s="5" t="s">
        <v>14</v>
      </c>
      <c r="D447" s="7">
        <v>201</v>
      </c>
      <c r="E447" s="31">
        <v>18555</v>
      </c>
      <c r="F447" s="29"/>
      <c r="G447" s="32">
        <v>45325</v>
      </c>
      <c r="H447" s="29"/>
      <c r="I447" s="5" t="s">
        <v>69</v>
      </c>
      <c r="J447" s="5" t="s">
        <v>77</v>
      </c>
      <c r="K447" s="5"/>
    </row>
    <row r="448" spans="1:11" ht="18.75" customHeight="1" x14ac:dyDescent="0.3">
      <c r="A448" s="30">
        <v>466</v>
      </c>
      <c r="B448" s="29"/>
      <c r="C448" s="5" t="s">
        <v>14</v>
      </c>
      <c r="D448" s="7">
        <v>139</v>
      </c>
      <c r="E448" s="31">
        <v>95290</v>
      </c>
      <c r="F448" s="29"/>
      <c r="G448" s="32">
        <v>45325</v>
      </c>
      <c r="H448" s="29"/>
      <c r="I448" s="5" t="s">
        <v>69</v>
      </c>
      <c r="J448" s="5" t="s">
        <v>77</v>
      </c>
      <c r="K448" s="5"/>
    </row>
    <row r="449" spans="1:11" ht="18.75" customHeight="1" x14ac:dyDescent="0.3">
      <c r="A449" s="30">
        <v>467</v>
      </c>
      <c r="B449" s="29"/>
      <c r="C449" s="5" t="s">
        <v>14</v>
      </c>
      <c r="D449" s="7">
        <v>242</v>
      </c>
      <c r="E449" s="31">
        <v>18564</v>
      </c>
      <c r="F449" s="29"/>
      <c r="G449" s="32">
        <v>45326</v>
      </c>
      <c r="H449" s="29"/>
      <c r="I449" s="5" t="s">
        <v>69</v>
      </c>
      <c r="J449" s="5" t="s">
        <v>77</v>
      </c>
      <c r="K449" s="5"/>
    </row>
    <row r="450" spans="1:11" ht="18.75" customHeight="1" x14ac:dyDescent="0.3">
      <c r="A450" s="30">
        <v>468</v>
      </c>
      <c r="B450" s="29"/>
      <c r="C450" s="5" t="s">
        <v>14</v>
      </c>
      <c r="D450" s="7">
        <v>236</v>
      </c>
      <c r="E450" s="31">
        <v>18571</v>
      </c>
      <c r="F450" s="29"/>
      <c r="G450" s="32">
        <v>45327</v>
      </c>
      <c r="H450" s="29"/>
      <c r="I450" s="5" t="s">
        <v>69</v>
      </c>
      <c r="J450" s="5" t="s">
        <v>77</v>
      </c>
      <c r="K450" s="5" t="s">
        <v>79</v>
      </c>
    </row>
    <row r="451" spans="1:11" ht="18.75" customHeight="1" x14ac:dyDescent="0.3">
      <c r="A451" s="30">
        <v>469</v>
      </c>
      <c r="B451" s="29"/>
      <c r="C451" s="5" t="s">
        <v>14</v>
      </c>
      <c r="D451" s="7">
        <v>225</v>
      </c>
      <c r="E451" s="31">
        <v>18586</v>
      </c>
      <c r="F451" s="29"/>
      <c r="G451" s="32">
        <v>45328</v>
      </c>
      <c r="H451" s="29"/>
      <c r="I451" s="5" t="s">
        <v>69</v>
      </c>
      <c r="J451" s="5" t="s">
        <v>77</v>
      </c>
      <c r="K451" s="5" t="s">
        <v>79</v>
      </c>
    </row>
    <row r="452" spans="1:11" ht="18.75" customHeight="1" x14ac:dyDescent="0.3">
      <c r="A452" s="30">
        <v>470</v>
      </c>
      <c r="B452" s="29"/>
      <c r="C452" s="5" t="s">
        <v>14</v>
      </c>
      <c r="D452" s="7">
        <v>204</v>
      </c>
      <c r="E452" s="31">
        <v>19084</v>
      </c>
      <c r="F452" s="29"/>
      <c r="G452" s="32">
        <v>45329</v>
      </c>
      <c r="H452" s="29"/>
      <c r="I452" s="5" t="s">
        <v>69</v>
      </c>
      <c r="J452" s="5" t="s">
        <v>77</v>
      </c>
      <c r="K452" s="5" t="s">
        <v>79</v>
      </c>
    </row>
    <row r="453" spans="1:11" ht="18.75" customHeight="1" x14ac:dyDescent="0.3">
      <c r="A453" s="30">
        <v>471</v>
      </c>
      <c r="B453" s="29"/>
      <c r="C453" s="5" t="s">
        <v>14</v>
      </c>
      <c r="D453" s="7">
        <v>189</v>
      </c>
      <c r="E453" s="31">
        <v>19057</v>
      </c>
      <c r="F453" s="29"/>
      <c r="G453" s="32">
        <v>45330</v>
      </c>
      <c r="H453" s="29"/>
      <c r="I453" s="5" t="s">
        <v>69</v>
      </c>
      <c r="J453" s="5" t="s">
        <v>77</v>
      </c>
      <c r="K453" s="5" t="s">
        <v>79</v>
      </c>
    </row>
    <row r="454" spans="1:11" ht="18.75" customHeight="1" x14ac:dyDescent="0.3">
      <c r="A454" s="30">
        <v>472</v>
      </c>
      <c r="B454" s="29"/>
      <c r="C454" s="5" t="s">
        <v>14</v>
      </c>
      <c r="D454" s="7">
        <v>202</v>
      </c>
      <c r="E454" s="31">
        <v>19067</v>
      </c>
      <c r="F454" s="29"/>
      <c r="G454" s="32">
        <v>45331</v>
      </c>
      <c r="H454" s="29"/>
      <c r="I454" s="5" t="s">
        <v>69</v>
      </c>
      <c r="J454" s="5" t="s">
        <v>77</v>
      </c>
      <c r="K454" s="5" t="s">
        <v>79</v>
      </c>
    </row>
    <row r="455" spans="1:11" ht="18.75" customHeight="1" x14ac:dyDescent="0.3">
      <c r="A455" s="30">
        <v>473</v>
      </c>
      <c r="B455" s="29"/>
      <c r="C455" s="5" t="s">
        <v>14</v>
      </c>
      <c r="D455" s="7">
        <v>176</v>
      </c>
      <c r="E455" s="31">
        <v>18589</v>
      </c>
      <c r="F455" s="29"/>
      <c r="G455" s="32">
        <v>45332</v>
      </c>
      <c r="H455" s="29"/>
      <c r="I455" s="5" t="s">
        <v>69</v>
      </c>
      <c r="J455" s="5" t="s">
        <v>77</v>
      </c>
      <c r="K455" s="5" t="s">
        <v>79</v>
      </c>
    </row>
    <row r="456" spans="1:11" ht="18.75" customHeight="1" x14ac:dyDescent="0.3">
      <c r="A456" s="30">
        <v>474</v>
      </c>
      <c r="B456" s="29"/>
      <c r="C456" s="5" t="s">
        <v>14</v>
      </c>
      <c r="D456" s="7">
        <v>250</v>
      </c>
      <c r="E456" s="31">
        <v>18599</v>
      </c>
      <c r="F456" s="29"/>
      <c r="G456" s="32">
        <v>45333</v>
      </c>
      <c r="H456" s="29"/>
      <c r="I456" s="5" t="s">
        <v>69</v>
      </c>
      <c r="J456" s="5" t="s">
        <v>77</v>
      </c>
      <c r="K456" s="5" t="s">
        <v>79</v>
      </c>
    </row>
    <row r="457" spans="1:11" ht="18.75" customHeight="1" x14ac:dyDescent="0.3">
      <c r="A457" s="30">
        <v>475</v>
      </c>
      <c r="B457" s="29"/>
      <c r="C457" s="5" t="s">
        <v>40</v>
      </c>
      <c r="D457" s="7">
        <v>470</v>
      </c>
      <c r="E457" s="31">
        <v>133848</v>
      </c>
      <c r="F457" s="29"/>
      <c r="G457" s="32">
        <v>45327</v>
      </c>
      <c r="H457" s="29"/>
      <c r="I457" s="5" t="s">
        <v>15</v>
      </c>
      <c r="J457" s="5" t="s">
        <v>30</v>
      </c>
      <c r="K457" s="5"/>
    </row>
    <row r="458" spans="1:11" ht="18.75" customHeight="1" x14ac:dyDescent="0.3">
      <c r="A458" s="30">
        <v>476</v>
      </c>
      <c r="B458" s="29"/>
      <c r="C458" s="5" t="s">
        <v>40</v>
      </c>
      <c r="D458" s="7">
        <v>487</v>
      </c>
      <c r="E458" s="31">
        <v>93450</v>
      </c>
      <c r="F458" s="29"/>
      <c r="G458" s="32">
        <v>45327</v>
      </c>
      <c r="H458" s="29"/>
      <c r="I458" s="5" t="s">
        <v>15</v>
      </c>
      <c r="J458" s="5" t="s">
        <v>30</v>
      </c>
      <c r="K458" s="5"/>
    </row>
    <row r="459" spans="1:11" ht="18.75" customHeight="1" x14ac:dyDescent="0.3">
      <c r="A459" s="30">
        <v>477</v>
      </c>
      <c r="B459" s="29"/>
      <c r="C459" s="5" t="s">
        <v>40</v>
      </c>
      <c r="D459" s="7">
        <v>400</v>
      </c>
      <c r="E459" s="31">
        <v>130504</v>
      </c>
      <c r="F459" s="29"/>
      <c r="G459" s="32">
        <v>45328</v>
      </c>
      <c r="H459" s="29"/>
      <c r="I459" s="5" t="s">
        <v>15</v>
      </c>
      <c r="J459" s="5" t="s">
        <v>30</v>
      </c>
      <c r="K459" s="5"/>
    </row>
    <row r="460" spans="1:11" ht="18.75" customHeight="1" x14ac:dyDescent="0.3">
      <c r="A460" s="30">
        <v>478</v>
      </c>
      <c r="B460" s="29"/>
      <c r="C460" s="5" t="s">
        <v>40</v>
      </c>
      <c r="D460" s="7">
        <v>405</v>
      </c>
      <c r="E460" s="31">
        <v>131098</v>
      </c>
      <c r="F460" s="29"/>
      <c r="G460" s="32">
        <v>45328</v>
      </c>
      <c r="H460" s="29"/>
      <c r="I460" s="5" t="s">
        <v>15</v>
      </c>
      <c r="J460" s="5" t="s">
        <v>30</v>
      </c>
      <c r="K460" s="5"/>
    </row>
    <row r="461" spans="1:11" ht="18.75" customHeight="1" x14ac:dyDescent="0.3">
      <c r="A461" s="30">
        <v>479</v>
      </c>
      <c r="B461" s="29"/>
      <c r="C461" s="5" t="s">
        <v>40</v>
      </c>
      <c r="D461" s="7">
        <v>340</v>
      </c>
      <c r="E461" s="31">
        <v>131155</v>
      </c>
      <c r="F461" s="29"/>
      <c r="G461" s="32">
        <v>45329</v>
      </c>
      <c r="H461" s="29"/>
      <c r="I461" s="5" t="s">
        <v>15</v>
      </c>
      <c r="J461" s="5" t="s">
        <v>30</v>
      </c>
      <c r="K461" s="5"/>
    </row>
    <row r="462" spans="1:11" ht="18.75" customHeight="1" x14ac:dyDescent="0.3">
      <c r="A462" s="30">
        <v>480</v>
      </c>
      <c r="B462" s="29"/>
      <c r="C462" s="5" t="s">
        <v>40</v>
      </c>
      <c r="D462" s="7">
        <v>306</v>
      </c>
      <c r="E462" s="31">
        <v>130710</v>
      </c>
      <c r="F462" s="29"/>
      <c r="G462" s="32">
        <v>45329</v>
      </c>
      <c r="H462" s="29"/>
      <c r="I462" s="5" t="s">
        <v>15</v>
      </c>
      <c r="J462" s="5" t="s">
        <v>30</v>
      </c>
      <c r="K462" s="5"/>
    </row>
    <row r="463" spans="1:11" ht="18.75" customHeight="1" x14ac:dyDescent="0.3">
      <c r="A463" s="30">
        <v>481</v>
      </c>
      <c r="B463" s="29"/>
      <c r="C463" s="5" t="s">
        <v>40</v>
      </c>
      <c r="D463" s="7">
        <v>525</v>
      </c>
      <c r="E463" s="31">
        <v>130521</v>
      </c>
      <c r="F463" s="29"/>
      <c r="G463" s="32">
        <v>45330</v>
      </c>
      <c r="H463" s="29"/>
      <c r="I463" s="5" t="s">
        <v>15</v>
      </c>
      <c r="J463" s="5" t="s">
        <v>30</v>
      </c>
      <c r="K463" s="5"/>
    </row>
    <row r="464" spans="1:11" ht="18.75" customHeight="1" x14ac:dyDescent="0.3">
      <c r="A464" s="30">
        <v>482</v>
      </c>
      <c r="B464" s="29"/>
      <c r="C464" s="5" t="s">
        <v>40</v>
      </c>
      <c r="D464" s="7">
        <v>500</v>
      </c>
      <c r="E464" s="31">
        <v>131159</v>
      </c>
      <c r="F464" s="29"/>
      <c r="G464" s="32">
        <v>45330</v>
      </c>
      <c r="H464" s="29"/>
      <c r="I464" s="5" t="s">
        <v>15</v>
      </c>
      <c r="J464" s="5" t="s">
        <v>30</v>
      </c>
      <c r="K464" s="5"/>
    </row>
    <row r="465" spans="1:11" ht="18.75" customHeight="1" x14ac:dyDescent="0.3">
      <c r="A465" s="30">
        <v>483</v>
      </c>
      <c r="B465" s="29"/>
      <c r="C465" s="5" t="s">
        <v>40</v>
      </c>
      <c r="D465" s="7">
        <v>464</v>
      </c>
      <c r="E465" s="31">
        <v>130527</v>
      </c>
      <c r="F465" s="29"/>
      <c r="G465" s="32">
        <v>45331</v>
      </c>
      <c r="H465" s="29"/>
      <c r="I465" s="5" t="s">
        <v>15</v>
      </c>
      <c r="J465" s="5" t="s">
        <v>30</v>
      </c>
      <c r="K465" s="5"/>
    </row>
    <row r="466" spans="1:11" ht="18.75" customHeight="1" x14ac:dyDescent="0.3">
      <c r="A466" s="30">
        <v>484</v>
      </c>
      <c r="B466" s="29"/>
      <c r="C466" s="5" t="s">
        <v>40</v>
      </c>
      <c r="D466" s="7">
        <v>508</v>
      </c>
      <c r="E466" s="31">
        <v>131163</v>
      </c>
      <c r="F466" s="29"/>
      <c r="G466" s="32">
        <v>45331</v>
      </c>
      <c r="H466" s="29"/>
      <c r="I466" s="5" t="s">
        <v>15</v>
      </c>
      <c r="J466" s="5" t="s">
        <v>30</v>
      </c>
      <c r="K466" s="5"/>
    </row>
    <row r="467" spans="1:11" ht="18.75" customHeight="1" x14ac:dyDescent="0.3">
      <c r="A467" s="30">
        <v>485</v>
      </c>
      <c r="B467" s="29"/>
      <c r="C467" s="5" t="s">
        <v>40</v>
      </c>
      <c r="D467" s="7">
        <v>522</v>
      </c>
      <c r="E467" s="31">
        <v>130530</v>
      </c>
      <c r="F467" s="29"/>
      <c r="G467" s="32">
        <v>45332</v>
      </c>
      <c r="H467" s="29"/>
      <c r="I467" s="5" t="s">
        <v>15</v>
      </c>
      <c r="J467" s="5" t="s">
        <v>30</v>
      </c>
      <c r="K467" s="5"/>
    </row>
    <row r="468" spans="1:11" ht="18.75" customHeight="1" x14ac:dyDescent="0.3">
      <c r="A468" s="30">
        <v>486</v>
      </c>
      <c r="B468" s="29"/>
      <c r="C468" s="5" t="s">
        <v>40</v>
      </c>
      <c r="D468" s="7">
        <v>472</v>
      </c>
      <c r="E468" s="31">
        <v>130725</v>
      </c>
      <c r="F468" s="29"/>
      <c r="G468" s="32">
        <v>45332</v>
      </c>
      <c r="H468" s="29"/>
      <c r="I468" s="5" t="s">
        <v>15</v>
      </c>
      <c r="J468" s="5" t="s">
        <v>30</v>
      </c>
      <c r="K468" s="5"/>
    </row>
    <row r="469" spans="1:11" ht="18.75" customHeight="1" x14ac:dyDescent="0.3">
      <c r="A469" s="30">
        <v>487</v>
      </c>
      <c r="B469" s="29"/>
      <c r="C469" s="5" t="s">
        <v>14</v>
      </c>
      <c r="D469" s="7">
        <v>284</v>
      </c>
      <c r="E469" s="31">
        <v>95503</v>
      </c>
      <c r="F469" s="29"/>
      <c r="G469" s="32">
        <v>45337</v>
      </c>
      <c r="H469" s="29"/>
      <c r="I469" s="5" t="s">
        <v>69</v>
      </c>
      <c r="J469" s="5" t="s">
        <v>77</v>
      </c>
      <c r="K469" s="5" t="s">
        <v>79</v>
      </c>
    </row>
    <row r="470" spans="1:11" ht="18.75" customHeight="1" x14ac:dyDescent="0.3">
      <c r="A470" s="30">
        <v>488</v>
      </c>
      <c r="B470" s="29"/>
      <c r="C470" s="5" t="s">
        <v>14</v>
      </c>
      <c r="D470" s="7">
        <v>126</v>
      </c>
      <c r="E470" s="31">
        <v>95523</v>
      </c>
      <c r="F470" s="29"/>
      <c r="G470" s="32">
        <v>45339</v>
      </c>
      <c r="H470" s="29"/>
      <c r="I470" s="5" t="s">
        <v>69</v>
      </c>
      <c r="J470" s="5" t="s">
        <v>77</v>
      </c>
      <c r="K470" s="5" t="s">
        <v>79</v>
      </c>
    </row>
    <row r="471" spans="1:11" ht="18.75" customHeight="1" x14ac:dyDescent="0.3">
      <c r="A471" s="30">
        <v>489</v>
      </c>
      <c r="B471" s="29"/>
      <c r="C471" s="5" t="s">
        <v>14</v>
      </c>
      <c r="D471" s="7">
        <v>234</v>
      </c>
      <c r="E471" s="31">
        <v>19079</v>
      </c>
      <c r="F471" s="29"/>
      <c r="G471" s="32">
        <v>45334</v>
      </c>
      <c r="H471" s="29"/>
      <c r="I471" s="5" t="s">
        <v>69</v>
      </c>
      <c r="J471" s="5" t="s">
        <v>77</v>
      </c>
      <c r="K471" s="5" t="s">
        <v>79</v>
      </c>
    </row>
    <row r="472" spans="1:11" ht="18.75" customHeight="1" x14ac:dyDescent="0.3">
      <c r="A472" s="30">
        <v>490</v>
      </c>
      <c r="B472" s="29"/>
      <c r="C472" s="5" t="s">
        <v>14</v>
      </c>
      <c r="D472" s="7">
        <v>185</v>
      </c>
      <c r="E472" s="31">
        <v>19100</v>
      </c>
      <c r="F472" s="29"/>
      <c r="G472" s="32">
        <v>45335</v>
      </c>
      <c r="H472" s="29"/>
      <c r="I472" s="5" t="s">
        <v>69</v>
      </c>
      <c r="J472" s="5" t="s">
        <v>77</v>
      </c>
      <c r="K472" s="5" t="s">
        <v>79</v>
      </c>
    </row>
    <row r="473" spans="1:11" ht="18.75" customHeight="1" x14ac:dyDescent="0.3">
      <c r="A473" s="30">
        <v>491</v>
      </c>
      <c r="B473" s="29"/>
      <c r="C473" s="5" t="s">
        <v>14</v>
      </c>
      <c r="D473" s="7">
        <v>207</v>
      </c>
      <c r="E473" s="31">
        <v>18609</v>
      </c>
      <c r="F473" s="29"/>
      <c r="G473" s="32">
        <v>45336</v>
      </c>
      <c r="H473" s="29"/>
      <c r="I473" s="5" t="s">
        <v>69</v>
      </c>
      <c r="J473" s="5" t="s">
        <v>77</v>
      </c>
      <c r="K473" s="5" t="s">
        <v>79</v>
      </c>
    </row>
    <row r="474" spans="1:11" ht="18.75" customHeight="1" x14ac:dyDescent="0.3">
      <c r="A474" s="30">
        <v>492</v>
      </c>
      <c r="B474" s="29"/>
      <c r="C474" s="5" t="s">
        <v>14</v>
      </c>
      <c r="D474" s="7">
        <v>175</v>
      </c>
      <c r="E474" s="31">
        <v>18622</v>
      </c>
      <c r="F474" s="29"/>
      <c r="G474" s="32">
        <v>45337</v>
      </c>
      <c r="H474" s="29"/>
      <c r="I474" s="5" t="s">
        <v>69</v>
      </c>
      <c r="J474" s="5" t="s">
        <v>77</v>
      </c>
      <c r="K474" s="5" t="s">
        <v>79</v>
      </c>
    </row>
    <row r="475" spans="1:11" ht="18.75" customHeight="1" x14ac:dyDescent="0.3">
      <c r="A475" s="30">
        <v>493</v>
      </c>
      <c r="B475" s="29"/>
      <c r="C475" s="5" t="s">
        <v>14</v>
      </c>
      <c r="D475" s="7">
        <v>242</v>
      </c>
      <c r="E475" s="31">
        <v>18635</v>
      </c>
      <c r="F475" s="29"/>
      <c r="G475" s="32">
        <v>45338</v>
      </c>
      <c r="H475" s="29"/>
      <c r="I475" s="5" t="s">
        <v>69</v>
      </c>
      <c r="J475" s="5" t="s">
        <v>77</v>
      </c>
      <c r="K475" s="5" t="s">
        <v>79</v>
      </c>
    </row>
    <row r="476" spans="1:11" ht="18.75" customHeight="1" x14ac:dyDescent="0.3">
      <c r="A476" s="30">
        <v>494</v>
      </c>
      <c r="B476" s="29"/>
      <c r="C476" s="5" t="s">
        <v>14</v>
      </c>
      <c r="D476" s="7">
        <v>151</v>
      </c>
      <c r="E476" s="31">
        <v>18645</v>
      </c>
      <c r="F476" s="29"/>
      <c r="G476" s="32">
        <v>45339</v>
      </c>
      <c r="H476" s="29"/>
      <c r="I476" s="5" t="s">
        <v>69</v>
      </c>
      <c r="J476" s="5" t="s">
        <v>77</v>
      </c>
      <c r="K476" s="5" t="s">
        <v>79</v>
      </c>
    </row>
    <row r="477" spans="1:11" ht="18.75" customHeight="1" x14ac:dyDescent="0.3">
      <c r="A477" s="30">
        <v>495</v>
      </c>
      <c r="B477" s="29"/>
      <c r="C477" s="5" t="s">
        <v>14</v>
      </c>
      <c r="D477" s="7">
        <v>237</v>
      </c>
      <c r="E477" s="31">
        <v>19005</v>
      </c>
      <c r="F477" s="29"/>
      <c r="G477" s="32">
        <v>45340</v>
      </c>
      <c r="H477" s="29"/>
      <c r="I477" s="5" t="s">
        <v>69</v>
      </c>
      <c r="J477" s="5" t="s">
        <v>77</v>
      </c>
      <c r="K477" s="5" t="s">
        <v>79</v>
      </c>
    </row>
    <row r="478" spans="1:11" ht="18.75" customHeight="1" x14ac:dyDescent="0.3">
      <c r="A478" s="30">
        <v>496</v>
      </c>
      <c r="B478" s="29"/>
      <c r="C478" s="5" t="s">
        <v>40</v>
      </c>
      <c r="D478" s="7">
        <v>523</v>
      </c>
      <c r="E478" s="31">
        <v>130542</v>
      </c>
      <c r="F478" s="29"/>
      <c r="G478" s="32">
        <v>45334</v>
      </c>
      <c r="H478" s="29"/>
      <c r="I478" s="5" t="s">
        <v>15</v>
      </c>
      <c r="J478" s="5" t="s">
        <v>30</v>
      </c>
      <c r="K478" s="5"/>
    </row>
    <row r="479" spans="1:11" ht="18.75" customHeight="1" x14ac:dyDescent="0.3">
      <c r="A479" s="30">
        <v>497</v>
      </c>
      <c r="B479" s="29"/>
      <c r="C479" s="5" t="s">
        <v>40</v>
      </c>
      <c r="D479" s="7">
        <v>500</v>
      </c>
      <c r="E479" s="31">
        <v>131166</v>
      </c>
      <c r="F479" s="29"/>
      <c r="G479" s="32">
        <v>45334</v>
      </c>
      <c r="H479" s="29"/>
      <c r="I479" s="5" t="s">
        <v>15</v>
      </c>
      <c r="J479" s="5" t="s">
        <v>30</v>
      </c>
      <c r="K479" s="5"/>
    </row>
    <row r="480" spans="1:11" ht="18.75" customHeight="1" x14ac:dyDescent="0.3">
      <c r="A480" s="30">
        <v>498</v>
      </c>
      <c r="B480" s="29"/>
      <c r="C480" s="5" t="s">
        <v>40</v>
      </c>
      <c r="D480" s="7">
        <v>405</v>
      </c>
      <c r="E480" s="31">
        <v>131169</v>
      </c>
      <c r="F480" s="29"/>
      <c r="G480" s="32">
        <v>45335</v>
      </c>
      <c r="H480" s="29"/>
      <c r="I480" s="5" t="s">
        <v>15</v>
      </c>
      <c r="J480" s="5" t="s">
        <v>30</v>
      </c>
      <c r="K480" s="5"/>
    </row>
    <row r="481" spans="1:11" ht="18.75" customHeight="1" x14ac:dyDescent="0.3">
      <c r="A481" s="30">
        <v>499</v>
      </c>
      <c r="B481" s="29"/>
      <c r="C481" s="5" t="s">
        <v>40</v>
      </c>
      <c r="D481" s="7">
        <v>384</v>
      </c>
      <c r="E481" s="31">
        <v>130739</v>
      </c>
      <c r="F481" s="29"/>
      <c r="G481" s="32">
        <v>45335</v>
      </c>
      <c r="H481" s="29"/>
      <c r="I481" s="5" t="s">
        <v>15</v>
      </c>
      <c r="J481" s="5" t="s">
        <v>30</v>
      </c>
      <c r="K481" s="5"/>
    </row>
    <row r="482" spans="1:11" ht="18.75" customHeight="1" x14ac:dyDescent="0.3">
      <c r="A482" s="30">
        <v>500</v>
      </c>
      <c r="B482" s="29"/>
      <c r="C482" s="5" t="s">
        <v>40</v>
      </c>
      <c r="D482" s="7">
        <v>406</v>
      </c>
      <c r="E482" s="31">
        <v>130743</v>
      </c>
      <c r="F482" s="29"/>
      <c r="G482" s="32">
        <v>45336</v>
      </c>
      <c r="H482" s="29"/>
      <c r="I482" s="5" t="s">
        <v>15</v>
      </c>
      <c r="J482" s="5" t="s">
        <v>30</v>
      </c>
      <c r="K482" s="5"/>
    </row>
    <row r="483" spans="1:11" ht="18.75" customHeight="1" x14ac:dyDescent="0.3">
      <c r="A483" s="30">
        <v>501</v>
      </c>
      <c r="B483" s="29"/>
      <c r="C483" s="5" t="s">
        <v>40</v>
      </c>
      <c r="D483" s="7">
        <v>495</v>
      </c>
      <c r="E483" s="31">
        <v>130562</v>
      </c>
      <c r="F483" s="29"/>
      <c r="G483" s="32">
        <v>45336</v>
      </c>
      <c r="H483" s="29"/>
      <c r="I483" s="5" t="s">
        <v>15</v>
      </c>
      <c r="J483" s="5" t="s">
        <v>30</v>
      </c>
      <c r="K483" s="5"/>
    </row>
    <row r="484" spans="1:11" ht="18.75" customHeight="1" x14ac:dyDescent="0.3">
      <c r="A484" s="30">
        <v>502</v>
      </c>
      <c r="B484" s="29"/>
      <c r="C484" s="5" t="s">
        <v>40</v>
      </c>
      <c r="D484" s="7">
        <v>510</v>
      </c>
      <c r="E484" s="31">
        <v>130563</v>
      </c>
      <c r="F484" s="29"/>
      <c r="G484" s="32">
        <v>45337</v>
      </c>
      <c r="H484" s="29"/>
      <c r="I484" s="5" t="s">
        <v>15</v>
      </c>
      <c r="J484" s="5" t="s">
        <v>30</v>
      </c>
      <c r="K484" s="5"/>
    </row>
    <row r="485" spans="1:11" ht="18.75" customHeight="1" x14ac:dyDescent="0.3">
      <c r="A485" s="30">
        <v>503</v>
      </c>
      <c r="B485" s="29"/>
      <c r="C485" s="5" t="s">
        <v>40</v>
      </c>
      <c r="D485" s="7">
        <v>350</v>
      </c>
      <c r="E485" s="31">
        <v>131181</v>
      </c>
      <c r="F485" s="29"/>
      <c r="G485" s="32">
        <v>45337</v>
      </c>
      <c r="H485" s="29"/>
      <c r="I485" s="5" t="s">
        <v>15</v>
      </c>
      <c r="J485" s="5" t="s">
        <v>30</v>
      </c>
      <c r="K485" s="5"/>
    </row>
    <row r="486" spans="1:11" ht="18.75" customHeight="1" x14ac:dyDescent="0.3">
      <c r="A486" s="30">
        <v>504</v>
      </c>
      <c r="B486" s="29"/>
      <c r="C486" s="5" t="s">
        <v>40</v>
      </c>
      <c r="D486" s="7">
        <v>520</v>
      </c>
      <c r="E486" s="31">
        <v>131187</v>
      </c>
      <c r="F486" s="29"/>
      <c r="G486" s="32">
        <v>45338</v>
      </c>
      <c r="H486" s="29"/>
      <c r="I486" s="5" t="s">
        <v>15</v>
      </c>
      <c r="J486" s="5" t="s">
        <v>30</v>
      </c>
      <c r="K486" s="5"/>
    </row>
    <row r="487" spans="1:11" ht="18.75" customHeight="1" x14ac:dyDescent="0.3">
      <c r="A487" s="30">
        <v>505</v>
      </c>
      <c r="B487" s="29"/>
      <c r="C487" s="5" t="s">
        <v>40</v>
      </c>
      <c r="D487" s="7">
        <v>490</v>
      </c>
      <c r="E487" s="31">
        <v>93292</v>
      </c>
      <c r="F487" s="29"/>
      <c r="G487" s="32">
        <v>45338</v>
      </c>
      <c r="H487" s="29"/>
      <c r="I487" s="5" t="s">
        <v>15</v>
      </c>
      <c r="J487" s="5" t="s">
        <v>30</v>
      </c>
      <c r="K487" s="5"/>
    </row>
    <row r="488" spans="1:11" ht="18.75" customHeight="1" x14ac:dyDescent="0.3">
      <c r="A488" s="30">
        <v>506</v>
      </c>
      <c r="B488" s="29"/>
      <c r="C488" s="5" t="s">
        <v>40</v>
      </c>
      <c r="D488" s="7">
        <v>286</v>
      </c>
      <c r="E488" s="31">
        <v>131188</v>
      </c>
      <c r="F488" s="29"/>
      <c r="G488" s="32">
        <v>45339</v>
      </c>
      <c r="H488" s="29"/>
      <c r="I488" s="5" t="s">
        <v>15</v>
      </c>
      <c r="J488" s="5" t="s">
        <v>30</v>
      </c>
      <c r="K488" s="5"/>
    </row>
    <row r="489" spans="1:11" ht="18.75" customHeight="1" x14ac:dyDescent="0.3">
      <c r="A489" s="30">
        <v>507</v>
      </c>
      <c r="B489" s="29"/>
      <c r="C489" s="5" t="s">
        <v>40</v>
      </c>
      <c r="D489" s="7">
        <v>490</v>
      </c>
      <c r="E489" s="31">
        <v>130958</v>
      </c>
      <c r="F489" s="29"/>
      <c r="G489" s="32">
        <v>45339</v>
      </c>
      <c r="H489" s="29"/>
      <c r="I489" s="5" t="s">
        <v>15</v>
      </c>
      <c r="J489" s="5" t="s">
        <v>30</v>
      </c>
      <c r="K489" s="5"/>
    </row>
    <row r="490" spans="1:11" ht="18.75" customHeight="1" x14ac:dyDescent="0.3">
      <c r="A490" s="30">
        <v>508</v>
      </c>
      <c r="B490" s="29"/>
      <c r="C490" s="5" t="s">
        <v>14</v>
      </c>
      <c r="D490" s="7">
        <v>221</v>
      </c>
      <c r="E490" s="31">
        <v>19010</v>
      </c>
      <c r="F490" s="29"/>
      <c r="G490" s="32">
        <v>45341</v>
      </c>
      <c r="H490" s="29"/>
      <c r="I490" s="5" t="s">
        <v>69</v>
      </c>
      <c r="J490" s="5" t="s">
        <v>77</v>
      </c>
      <c r="K490" s="5" t="s">
        <v>79</v>
      </c>
    </row>
    <row r="491" spans="1:11" ht="18.75" customHeight="1" x14ac:dyDescent="0.3">
      <c r="A491" s="30">
        <v>509</v>
      </c>
      <c r="B491" s="29"/>
      <c r="C491" s="5" t="s">
        <v>14</v>
      </c>
      <c r="D491" s="7">
        <v>139</v>
      </c>
      <c r="E491" s="31">
        <v>19030</v>
      </c>
      <c r="F491" s="29"/>
      <c r="G491" s="32">
        <v>45342</v>
      </c>
      <c r="H491" s="29"/>
      <c r="I491" s="5" t="s">
        <v>69</v>
      </c>
      <c r="J491" s="5" t="s">
        <v>77</v>
      </c>
      <c r="K491" s="5" t="s">
        <v>79</v>
      </c>
    </row>
    <row r="492" spans="1:11" ht="18.75" customHeight="1" x14ac:dyDescent="0.3">
      <c r="A492" s="30">
        <v>510</v>
      </c>
      <c r="B492" s="29"/>
      <c r="C492" s="5" t="s">
        <v>14</v>
      </c>
      <c r="D492" s="7">
        <v>204</v>
      </c>
      <c r="E492" s="31">
        <v>19037</v>
      </c>
      <c r="F492" s="29"/>
      <c r="G492" s="32">
        <v>45343</v>
      </c>
      <c r="H492" s="29"/>
      <c r="I492" s="5" t="s">
        <v>69</v>
      </c>
      <c r="J492" s="5" t="s">
        <v>77</v>
      </c>
      <c r="K492" s="5" t="s">
        <v>79</v>
      </c>
    </row>
    <row r="493" spans="1:11" ht="18.75" customHeight="1" x14ac:dyDescent="0.3">
      <c r="A493" s="30">
        <v>511</v>
      </c>
      <c r="B493" s="29"/>
      <c r="C493" s="5" t="s">
        <v>14</v>
      </c>
      <c r="D493" s="7">
        <v>224</v>
      </c>
      <c r="E493" s="31">
        <v>19048</v>
      </c>
      <c r="F493" s="29"/>
      <c r="G493" s="32">
        <v>45344</v>
      </c>
      <c r="H493" s="29"/>
      <c r="I493" s="5" t="s">
        <v>69</v>
      </c>
      <c r="J493" s="5" t="s">
        <v>77</v>
      </c>
      <c r="K493" s="5" t="s">
        <v>79</v>
      </c>
    </row>
    <row r="494" spans="1:11" ht="18.75" customHeight="1" x14ac:dyDescent="0.3">
      <c r="A494" s="30">
        <v>512</v>
      </c>
      <c r="B494" s="29"/>
      <c r="C494" s="5" t="s">
        <v>14</v>
      </c>
      <c r="D494" s="7">
        <v>161</v>
      </c>
      <c r="E494" s="31">
        <v>95612</v>
      </c>
      <c r="F494" s="29"/>
      <c r="G494" s="32">
        <v>45345</v>
      </c>
      <c r="H494" s="29"/>
      <c r="I494" s="5" t="s">
        <v>69</v>
      </c>
      <c r="J494" s="5" t="s">
        <v>77</v>
      </c>
      <c r="K494" s="5" t="s">
        <v>79</v>
      </c>
    </row>
    <row r="495" spans="1:11" ht="18.75" customHeight="1" x14ac:dyDescent="0.3">
      <c r="A495" s="30">
        <v>513</v>
      </c>
      <c r="B495" s="29"/>
      <c r="C495" s="5" t="s">
        <v>14</v>
      </c>
      <c r="D495" s="7">
        <v>161</v>
      </c>
      <c r="E495" s="31">
        <v>19118</v>
      </c>
      <c r="F495" s="29"/>
      <c r="G495" s="32">
        <v>45346</v>
      </c>
      <c r="H495" s="29"/>
      <c r="I495" s="5" t="s">
        <v>69</v>
      </c>
      <c r="J495" s="5" t="s">
        <v>77</v>
      </c>
      <c r="K495" s="5" t="s">
        <v>79</v>
      </c>
    </row>
    <row r="496" spans="1:11" ht="18.75" customHeight="1" x14ac:dyDescent="0.3">
      <c r="A496" s="30">
        <v>514</v>
      </c>
      <c r="B496" s="29"/>
      <c r="C496" s="5" t="s">
        <v>14</v>
      </c>
      <c r="D496" s="7">
        <v>265</v>
      </c>
      <c r="E496" s="31">
        <v>95651</v>
      </c>
      <c r="F496" s="29"/>
      <c r="G496" s="32">
        <v>45346</v>
      </c>
      <c r="H496" s="29"/>
      <c r="I496" s="5" t="s">
        <v>69</v>
      </c>
      <c r="J496" s="5" t="s">
        <v>77</v>
      </c>
      <c r="K496" s="5" t="s">
        <v>79</v>
      </c>
    </row>
    <row r="497" spans="1:11" ht="18.75" customHeight="1" x14ac:dyDescent="0.3">
      <c r="A497" s="30">
        <v>515</v>
      </c>
      <c r="B497" s="29"/>
      <c r="C497" s="5" t="s">
        <v>14</v>
      </c>
      <c r="D497" s="7">
        <v>201</v>
      </c>
      <c r="E497" s="31">
        <v>19124</v>
      </c>
      <c r="F497" s="29"/>
      <c r="G497" s="32">
        <v>45347</v>
      </c>
      <c r="H497" s="29"/>
      <c r="I497" s="5" t="s">
        <v>69</v>
      </c>
      <c r="J497" s="5" t="s">
        <v>77</v>
      </c>
      <c r="K497" s="5" t="s">
        <v>79</v>
      </c>
    </row>
    <row r="498" spans="1:11" ht="18.75" customHeight="1" x14ac:dyDescent="0.3">
      <c r="A498" s="30">
        <v>516</v>
      </c>
      <c r="B498" s="29"/>
      <c r="C498" s="5" t="s">
        <v>40</v>
      </c>
      <c r="D498" s="7">
        <v>539</v>
      </c>
      <c r="E498" s="31">
        <v>130572</v>
      </c>
      <c r="F498" s="29"/>
      <c r="G498" s="32">
        <v>45341</v>
      </c>
      <c r="H498" s="29"/>
      <c r="I498" s="5" t="s">
        <v>15</v>
      </c>
      <c r="J498" s="5" t="s">
        <v>30</v>
      </c>
      <c r="K498" s="5"/>
    </row>
    <row r="499" spans="1:11" ht="18.75" customHeight="1" x14ac:dyDescent="0.3">
      <c r="A499" s="30">
        <v>517</v>
      </c>
      <c r="B499" s="29"/>
      <c r="C499" s="5" t="s">
        <v>40</v>
      </c>
      <c r="D499" s="7">
        <v>350</v>
      </c>
      <c r="E499" s="31">
        <v>93296</v>
      </c>
      <c r="F499" s="29"/>
      <c r="G499" s="32">
        <v>45341</v>
      </c>
      <c r="H499" s="29"/>
      <c r="I499" s="5" t="s">
        <v>15</v>
      </c>
      <c r="J499" s="5" t="s">
        <v>30</v>
      </c>
      <c r="K499" s="5"/>
    </row>
    <row r="500" spans="1:11" ht="18.75" customHeight="1" x14ac:dyDescent="0.3">
      <c r="A500" s="30">
        <v>518</v>
      </c>
      <c r="B500" s="29"/>
      <c r="C500" s="5" t="s">
        <v>40</v>
      </c>
      <c r="D500" s="7">
        <v>487</v>
      </c>
      <c r="E500" s="31">
        <v>131703</v>
      </c>
      <c r="F500" s="29"/>
      <c r="G500" s="32">
        <v>45342</v>
      </c>
      <c r="H500" s="29"/>
      <c r="I500" s="5" t="s">
        <v>15</v>
      </c>
      <c r="J500" s="5" t="s">
        <v>30</v>
      </c>
      <c r="K500" s="5"/>
    </row>
    <row r="501" spans="1:11" ht="18.75" customHeight="1" x14ac:dyDescent="0.3">
      <c r="A501" s="30">
        <v>519</v>
      </c>
      <c r="B501" s="29"/>
      <c r="C501" s="5" t="s">
        <v>40</v>
      </c>
      <c r="D501" s="7">
        <v>325</v>
      </c>
      <c r="E501" s="31">
        <v>93296</v>
      </c>
      <c r="F501" s="29"/>
      <c r="G501" s="32">
        <v>45342</v>
      </c>
      <c r="H501" s="29"/>
      <c r="I501" s="5" t="s">
        <v>15</v>
      </c>
      <c r="J501" s="5" t="s">
        <v>30</v>
      </c>
      <c r="K501" s="5"/>
    </row>
    <row r="502" spans="1:11" ht="18.75" customHeight="1" x14ac:dyDescent="0.3">
      <c r="A502" s="30">
        <v>520</v>
      </c>
      <c r="B502" s="29"/>
      <c r="C502" s="5" t="s">
        <v>40</v>
      </c>
      <c r="D502" s="7">
        <v>525</v>
      </c>
      <c r="E502" s="31">
        <v>130581</v>
      </c>
      <c r="F502" s="29"/>
      <c r="G502" s="32">
        <v>45343</v>
      </c>
      <c r="H502" s="29"/>
      <c r="I502" s="5" t="s">
        <v>15</v>
      </c>
      <c r="J502" s="5" t="s">
        <v>30</v>
      </c>
      <c r="K502" s="5"/>
    </row>
    <row r="503" spans="1:11" ht="18.75" customHeight="1" x14ac:dyDescent="0.3">
      <c r="A503" s="30">
        <v>521</v>
      </c>
      <c r="B503" s="29"/>
      <c r="C503" s="5" t="s">
        <v>40</v>
      </c>
      <c r="D503" s="7">
        <v>366</v>
      </c>
      <c r="E503" s="31">
        <v>131704</v>
      </c>
      <c r="F503" s="29"/>
      <c r="G503" s="32">
        <v>45343</v>
      </c>
      <c r="H503" s="29"/>
      <c r="I503" s="5" t="s">
        <v>15</v>
      </c>
      <c r="J503" s="5" t="s">
        <v>30</v>
      </c>
      <c r="K503" s="5"/>
    </row>
    <row r="504" spans="1:11" ht="18.75" customHeight="1" x14ac:dyDescent="0.3">
      <c r="A504" s="30">
        <v>522</v>
      </c>
      <c r="B504" s="29"/>
      <c r="C504" s="5" t="s">
        <v>40</v>
      </c>
      <c r="D504" s="7">
        <v>480</v>
      </c>
      <c r="E504" s="31">
        <v>130594</v>
      </c>
      <c r="F504" s="29"/>
      <c r="G504" s="32">
        <v>45344</v>
      </c>
      <c r="H504" s="29"/>
      <c r="I504" s="5" t="s">
        <v>15</v>
      </c>
      <c r="J504" s="5" t="s">
        <v>30</v>
      </c>
      <c r="K504" s="5"/>
    </row>
    <row r="505" spans="1:11" ht="18.75" customHeight="1" x14ac:dyDescent="0.3">
      <c r="A505" s="30">
        <v>523</v>
      </c>
      <c r="B505" s="29"/>
      <c r="C505" s="5" t="s">
        <v>40</v>
      </c>
      <c r="D505" s="7">
        <v>332</v>
      </c>
      <c r="E505" s="31">
        <v>130591</v>
      </c>
      <c r="F505" s="29"/>
      <c r="G505" s="32">
        <v>45344</v>
      </c>
      <c r="H505" s="29"/>
      <c r="I505" s="5" t="s">
        <v>15</v>
      </c>
      <c r="J505" s="5" t="s">
        <v>30</v>
      </c>
      <c r="K505" s="5"/>
    </row>
    <row r="506" spans="1:11" ht="18.75" customHeight="1" x14ac:dyDescent="0.3">
      <c r="A506" s="30">
        <v>524</v>
      </c>
      <c r="B506" s="29"/>
      <c r="C506" s="5" t="s">
        <v>40</v>
      </c>
      <c r="D506" s="7">
        <v>475</v>
      </c>
      <c r="E506" s="31">
        <v>130599</v>
      </c>
      <c r="F506" s="29"/>
      <c r="G506" s="32">
        <v>45345</v>
      </c>
      <c r="H506" s="29"/>
      <c r="I506" s="5" t="s">
        <v>15</v>
      </c>
      <c r="J506" s="5" t="s">
        <v>30</v>
      </c>
      <c r="K506" s="5"/>
    </row>
    <row r="507" spans="1:11" ht="18.75" customHeight="1" x14ac:dyDescent="0.3">
      <c r="A507" s="30">
        <v>525</v>
      </c>
      <c r="B507" s="29"/>
      <c r="C507" s="5" t="s">
        <v>40</v>
      </c>
      <c r="D507" s="7">
        <v>500</v>
      </c>
      <c r="E507" s="31">
        <v>131719</v>
      </c>
      <c r="F507" s="29"/>
      <c r="G507" s="32">
        <v>45345</v>
      </c>
      <c r="H507" s="29"/>
      <c r="I507" s="5" t="s">
        <v>15</v>
      </c>
      <c r="J507" s="5" t="s">
        <v>30</v>
      </c>
      <c r="K507" s="5"/>
    </row>
    <row r="508" spans="1:11" ht="18.75" customHeight="1" x14ac:dyDescent="0.3">
      <c r="A508" s="30">
        <v>526</v>
      </c>
      <c r="B508" s="29"/>
      <c r="C508" s="5" t="s">
        <v>40</v>
      </c>
      <c r="D508" s="7">
        <v>355</v>
      </c>
      <c r="E508" s="31">
        <v>130604</v>
      </c>
      <c r="F508" s="29"/>
      <c r="G508" s="32">
        <v>45346</v>
      </c>
      <c r="H508" s="29"/>
      <c r="I508" s="5" t="s">
        <v>15</v>
      </c>
      <c r="J508" s="5" t="s">
        <v>30</v>
      </c>
      <c r="K508" s="5"/>
    </row>
    <row r="509" spans="1:11" ht="18.75" customHeight="1" x14ac:dyDescent="0.3">
      <c r="A509" s="30">
        <v>527</v>
      </c>
      <c r="B509" s="29"/>
      <c r="C509" s="5" t="s">
        <v>40</v>
      </c>
      <c r="D509" s="7">
        <v>444</v>
      </c>
      <c r="E509" s="31">
        <v>130996</v>
      </c>
      <c r="F509" s="29"/>
      <c r="G509" s="32">
        <v>45346</v>
      </c>
      <c r="H509" s="29"/>
      <c r="I509" s="5" t="s">
        <v>15</v>
      </c>
      <c r="J509" s="5" t="s">
        <v>30</v>
      </c>
      <c r="K509" s="5"/>
    </row>
    <row r="510" spans="1:11" ht="18.75" customHeight="1" x14ac:dyDescent="0.3">
      <c r="A510" s="30">
        <v>528</v>
      </c>
      <c r="B510" s="29"/>
      <c r="C510" s="5" t="s">
        <v>14</v>
      </c>
      <c r="D510" s="7">
        <v>166</v>
      </c>
      <c r="E510" s="31">
        <v>19110</v>
      </c>
      <c r="F510" s="29"/>
      <c r="G510" s="32">
        <v>45345</v>
      </c>
      <c r="H510" s="29"/>
      <c r="I510" s="5" t="s">
        <v>69</v>
      </c>
      <c r="J510" s="5" t="s">
        <v>77</v>
      </c>
      <c r="K510" s="5" t="s">
        <v>79</v>
      </c>
    </row>
    <row r="511" spans="1:11" ht="18.75" customHeight="1" x14ac:dyDescent="0.3">
      <c r="A511" s="30">
        <v>529</v>
      </c>
      <c r="B511" s="29"/>
      <c r="C511" s="5" t="s">
        <v>14</v>
      </c>
      <c r="D511" s="7">
        <v>225</v>
      </c>
      <c r="E511" s="31">
        <v>19134</v>
      </c>
      <c r="F511" s="29"/>
      <c r="G511" s="32">
        <v>45348</v>
      </c>
      <c r="H511" s="29"/>
      <c r="I511" s="5" t="s">
        <v>69</v>
      </c>
      <c r="J511" s="5" t="s">
        <v>77</v>
      </c>
      <c r="K511" s="5" t="s">
        <v>79</v>
      </c>
    </row>
    <row r="512" spans="1:11" ht="18.75" customHeight="1" x14ac:dyDescent="0.3">
      <c r="A512" s="30">
        <v>530</v>
      </c>
      <c r="B512" s="29"/>
      <c r="C512" s="5" t="s">
        <v>14</v>
      </c>
      <c r="D512" s="7">
        <v>156</v>
      </c>
      <c r="E512" s="31">
        <v>19152</v>
      </c>
      <c r="F512" s="29"/>
      <c r="G512" s="32">
        <v>45349</v>
      </c>
      <c r="H512" s="29"/>
      <c r="I512" s="5" t="s">
        <v>69</v>
      </c>
      <c r="J512" s="5" t="s">
        <v>77</v>
      </c>
      <c r="K512" s="5" t="s">
        <v>79</v>
      </c>
    </row>
    <row r="513" spans="1:11" ht="18.75" customHeight="1" x14ac:dyDescent="0.3">
      <c r="A513" s="30">
        <v>531</v>
      </c>
      <c r="B513" s="29"/>
      <c r="C513" s="5" t="s">
        <v>14</v>
      </c>
      <c r="D513" s="7">
        <v>164</v>
      </c>
      <c r="E513" s="31">
        <v>19157</v>
      </c>
      <c r="F513" s="29"/>
      <c r="G513" s="32">
        <v>45350</v>
      </c>
      <c r="H513" s="29"/>
      <c r="I513" s="5" t="s">
        <v>69</v>
      </c>
      <c r="J513" s="5" t="s">
        <v>77</v>
      </c>
      <c r="K513" s="5" t="s">
        <v>79</v>
      </c>
    </row>
    <row r="514" spans="1:11" ht="18.75" customHeight="1" x14ac:dyDescent="0.3">
      <c r="A514" s="30">
        <v>532</v>
      </c>
      <c r="B514" s="29"/>
      <c r="C514" s="5" t="s">
        <v>14</v>
      </c>
      <c r="D514" s="7">
        <v>223</v>
      </c>
      <c r="E514" s="31">
        <v>19171</v>
      </c>
      <c r="F514" s="29"/>
      <c r="G514" s="32">
        <v>45351</v>
      </c>
      <c r="H514" s="29"/>
      <c r="I514" s="5" t="s">
        <v>69</v>
      </c>
      <c r="J514" s="5" t="s">
        <v>77</v>
      </c>
      <c r="K514" s="5" t="s">
        <v>79</v>
      </c>
    </row>
    <row r="515" spans="1:11" ht="18.75" customHeight="1" x14ac:dyDescent="0.3">
      <c r="A515" s="30">
        <v>533</v>
      </c>
      <c r="B515" s="29"/>
      <c r="C515" s="5" t="s">
        <v>14</v>
      </c>
      <c r="D515" s="7">
        <v>115</v>
      </c>
      <c r="E515" s="31">
        <v>95741</v>
      </c>
      <c r="F515" s="29"/>
      <c r="G515" s="32">
        <v>45351</v>
      </c>
      <c r="H515" s="29"/>
      <c r="I515" s="5" t="s">
        <v>69</v>
      </c>
      <c r="J515" s="5" t="s">
        <v>77</v>
      </c>
      <c r="K515" s="5" t="s">
        <v>79</v>
      </c>
    </row>
    <row r="516" spans="1:11" ht="18.75" customHeight="1" x14ac:dyDescent="0.3">
      <c r="A516" s="30">
        <v>534</v>
      </c>
      <c r="B516" s="29"/>
      <c r="C516" s="5" t="s">
        <v>14</v>
      </c>
      <c r="D516" s="7">
        <v>200</v>
      </c>
      <c r="E516" s="31">
        <v>19183</v>
      </c>
      <c r="F516" s="29"/>
      <c r="G516" s="32">
        <v>45352</v>
      </c>
      <c r="H516" s="29"/>
      <c r="I516" s="5" t="s">
        <v>69</v>
      </c>
      <c r="J516" s="5" t="s">
        <v>77</v>
      </c>
      <c r="K516" s="5" t="s">
        <v>79</v>
      </c>
    </row>
    <row r="517" spans="1:11" ht="18.75" customHeight="1" x14ac:dyDescent="0.3">
      <c r="A517" s="30">
        <v>535</v>
      </c>
      <c r="B517" s="29"/>
      <c r="C517" s="5" t="s">
        <v>14</v>
      </c>
      <c r="D517" s="7">
        <v>168</v>
      </c>
      <c r="E517" s="31">
        <v>19193</v>
      </c>
      <c r="F517" s="29"/>
      <c r="G517" s="32">
        <v>45353</v>
      </c>
      <c r="H517" s="29"/>
      <c r="I517" s="5" t="s">
        <v>69</v>
      </c>
      <c r="J517" s="5" t="s">
        <v>77</v>
      </c>
      <c r="K517" s="5" t="s">
        <v>79</v>
      </c>
    </row>
    <row r="518" spans="1:11" ht="18.75" customHeight="1" x14ac:dyDescent="0.3">
      <c r="A518" s="30">
        <v>536</v>
      </c>
      <c r="B518" s="29"/>
      <c r="C518" s="5" t="s">
        <v>14</v>
      </c>
      <c r="D518" s="7">
        <v>183</v>
      </c>
      <c r="E518" s="31">
        <v>19204</v>
      </c>
      <c r="F518" s="29"/>
      <c r="G518" s="32">
        <v>45354</v>
      </c>
      <c r="H518" s="29"/>
      <c r="I518" s="5" t="s">
        <v>69</v>
      </c>
      <c r="J518" s="5" t="s">
        <v>77</v>
      </c>
      <c r="K518" s="5" t="s">
        <v>79</v>
      </c>
    </row>
    <row r="519" spans="1:11" ht="18.75" customHeight="1" x14ac:dyDescent="0.3">
      <c r="A519" s="30">
        <v>537</v>
      </c>
      <c r="B519" s="29"/>
      <c r="C519" s="5" t="s">
        <v>40</v>
      </c>
      <c r="D519" s="7">
        <v>373</v>
      </c>
      <c r="E519" s="31">
        <v>130611</v>
      </c>
      <c r="F519" s="29"/>
      <c r="G519" s="32">
        <v>45348</v>
      </c>
      <c r="H519" s="29"/>
      <c r="I519" s="5" t="s">
        <v>15</v>
      </c>
      <c r="J519" s="5" t="s">
        <v>30</v>
      </c>
      <c r="K519" s="5"/>
    </row>
    <row r="520" spans="1:11" ht="18.75" customHeight="1" x14ac:dyDescent="0.3">
      <c r="A520" s="30">
        <v>538</v>
      </c>
      <c r="B520" s="29"/>
      <c r="C520" s="5" t="s">
        <v>40</v>
      </c>
      <c r="D520" s="7">
        <v>528</v>
      </c>
      <c r="E520" s="31">
        <v>131505</v>
      </c>
      <c r="F520" s="29"/>
      <c r="G520" s="32">
        <v>45348</v>
      </c>
      <c r="H520" s="29"/>
      <c r="I520" s="5" t="s">
        <v>15</v>
      </c>
      <c r="J520" s="5" t="s">
        <v>30</v>
      </c>
      <c r="K520" s="5"/>
    </row>
    <row r="521" spans="1:11" ht="18.75" customHeight="1" x14ac:dyDescent="0.3">
      <c r="A521" s="30">
        <v>539</v>
      </c>
      <c r="B521" s="29"/>
      <c r="C521" s="5" t="s">
        <v>40</v>
      </c>
      <c r="D521" s="7">
        <v>382</v>
      </c>
      <c r="E521" s="31">
        <v>130617</v>
      </c>
      <c r="F521" s="29"/>
      <c r="G521" s="32">
        <v>45349</v>
      </c>
      <c r="H521" s="29"/>
      <c r="I521" s="5" t="s">
        <v>15</v>
      </c>
      <c r="J521" s="5" t="s">
        <v>30</v>
      </c>
      <c r="K521" s="5"/>
    </row>
    <row r="522" spans="1:11" ht="18.75" customHeight="1" x14ac:dyDescent="0.3">
      <c r="A522" s="30">
        <v>540</v>
      </c>
      <c r="B522" s="29"/>
      <c r="C522" s="5" t="s">
        <v>40</v>
      </c>
      <c r="D522" s="7">
        <v>490</v>
      </c>
      <c r="E522" s="31">
        <v>131509</v>
      </c>
      <c r="F522" s="29"/>
      <c r="G522" s="32">
        <v>45349</v>
      </c>
      <c r="H522" s="29"/>
      <c r="I522" s="5" t="s">
        <v>15</v>
      </c>
      <c r="J522" s="5" t="s">
        <v>30</v>
      </c>
      <c r="K522" s="5"/>
    </row>
    <row r="523" spans="1:11" ht="18.75" customHeight="1" x14ac:dyDescent="0.3">
      <c r="A523" s="30">
        <v>541</v>
      </c>
      <c r="B523" s="29"/>
      <c r="C523" s="5" t="s">
        <v>40</v>
      </c>
      <c r="D523" s="7">
        <v>493</v>
      </c>
      <c r="E523" s="31">
        <v>130622</v>
      </c>
      <c r="F523" s="29"/>
      <c r="G523" s="32">
        <v>45350</v>
      </c>
      <c r="H523" s="29"/>
      <c r="I523" s="5" t="s">
        <v>15</v>
      </c>
      <c r="J523" s="5" t="s">
        <v>30</v>
      </c>
      <c r="K523" s="5"/>
    </row>
    <row r="524" spans="1:11" ht="18.75" customHeight="1" x14ac:dyDescent="0.3">
      <c r="A524" s="30">
        <v>542</v>
      </c>
      <c r="B524" s="29"/>
      <c r="C524" s="5" t="s">
        <v>40</v>
      </c>
      <c r="D524" s="7">
        <v>520</v>
      </c>
      <c r="E524" s="31">
        <v>130914</v>
      </c>
      <c r="F524" s="29"/>
      <c r="G524" s="32">
        <v>45350</v>
      </c>
      <c r="H524" s="29"/>
      <c r="I524" s="5" t="s">
        <v>15</v>
      </c>
      <c r="J524" s="5" t="s">
        <v>30</v>
      </c>
      <c r="K524" s="5"/>
    </row>
    <row r="525" spans="1:11" ht="18.75" customHeight="1" x14ac:dyDescent="0.3">
      <c r="A525" s="30">
        <v>543</v>
      </c>
      <c r="B525" s="29"/>
      <c r="C525" s="5" t="s">
        <v>40</v>
      </c>
      <c r="D525" s="7">
        <v>525</v>
      </c>
      <c r="E525" s="31">
        <v>130628</v>
      </c>
      <c r="F525" s="29"/>
      <c r="G525" s="32">
        <v>45351</v>
      </c>
      <c r="H525" s="29"/>
      <c r="I525" s="5" t="s">
        <v>15</v>
      </c>
      <c r="J525" s="5" t="s">
        <v>30</v>
      </c>
      <c r="K525" s="5"/>
    </row>
    <row r="526" spans="1:11" ht="18.75" customHeight="1" x14ac:dyDescent="0.3">
      <c r="A526" s="30">
        <v>544</v>
      </c>
      <c r="B526" s="29"/>
      <c r="C526" s="5" t="s">
        <v>40</v>
      </c>
      <c r="D526" s="7">
        <v>288</v>
      </c>
      <c r="E526" s="31">
        <v>130921</v>
      </c>
      <c r="F526" s="29"/>
      <c r="G526" s="32">
        <v>45351</v>
      </c>
      <c r="H526" s="29"/>
      <c r="I526" s="5" t="s">
        <v>15</v>
      </c>
      <c r="J526" s="5" t="s">
        <v>30</v>
      </c>
      <c r="K526" s="5"/>
    </row>
    <row r="527" spans="1:11" ht="18.75" customHeight="1" x14ac:dyDescent="0.3">
      <c r="A527" s="30">
        <v>545</v>
      </c>
      <c r="B527" s="29"/>
      <c r="C527" s="5" t="s">
        <v>40</v>
      </c>
      <c r="D527" s="7">
        <v>512</v>
      </c>
      <c r="E527" s="31">
        <v>130924</v>
      </c>
      <c r="F527" s="29"/>
      <c r="G527" s="32">
        <v>45351</v>
      </c>
      <c r="H527" s="29"/>
      <c r="I527" s="5" t="s">
        <v>15</v>
      </c>
      <c r="J527" s="5" t="s">
        <v>30</v>
      </c>
      <c r="K527" s="5"/>
    </row>
    <row r="528" spans="1:11" ht="18.75" customHeight="1" x14ac:dyDescent="0.3">
      <c r="A528" s="30">
        <v>546</v>
      </c>
      <c r="B528" s="29"/>
      <c r="C528" s="5" t="s">
        <v>40</v>
      </c>
      <c r="D528" s="7">
        <v>525</v>
      </c>
      <c r="E528" s="31">
        <v>130634</v>
      </c>
      <c r="F528" s="29"/>
      <c r="G528" s="32">
        <v>45352</v>
      </c>
      <c r="H528" s="29"/>
      <c r="I528" s="5" t="s">
        <v>15</v>
      </c>
      <c r="J528" s="5" t="s">
        <v>30</v>
      </c>
      <c r="K528" s="5"/>
    </row>
    <row r="529" spans="1:11" ht="18.75" customHeight="1" x14ac:dyDescent="0.3">
      <c r="A529" s="30">
        <v>547</v>
      </c>
      <c r="B529" s="29"/>
      <c r="C529" s="5" t="s">
        <v>40</v>
      </c>
      <c r="D529" s="7">
        <v>530</v>
      </c>
      <c r="E529" s="31">
        <v>130637</v>
      </c>
      <c r="F529" s="29"/>
      <c r="G529" s="32">
        <v>45352</v>
      </c>
      <c r="H529" s="29"/>
      <c r="I529" s="5" t="s">
        <v>15</v>
      </c>
      <c r="J529" s="5" t="s">
        <v>30</v>
      </c>
      <c r="K529" s="5"/>
    </row>
    <row r="530" spans="1:11" ht="18.75" customHeight="1" x14ac:dyDescent="0.3">
      <c r="A530" s="30">
        <v>548</v>
      </c>
      <c r="B530" s="29"/>
      <c r="C530" s="5" t="s">
        <v>40</v>
      </c>
      <c r="D530" s="7">
        <v>550</v>
      </c>
      <c r="E530" s="31">
        <v>130641</v>
      </c>
      <c r="F530" s="29"/>
      <c r="G530" s="32">
        <v>45353</v>
      </c>
      <c r="H530" s="29"/>
      <c r="I530" s="5" t="s">
        <v>15</v>
      </c>
      <c r="J530" s="5" t="s">
        <v>30</v>
      </c>
      <c r="K530" s="5"/>
    </row>
    <row r="531" spans="1:11" ht="18.75" customHeight="1" x14ac:dyDescent="0.3">
      <c r="A531" s="30">
        <v>549</v>
      </c>
      <c r="B531" s="29"/>
      <c r="C531" s="5" t="s">
        <v>40</v>
      </c>
      <c r="D531" s="7">
        <v>512</v>
      </c>
      <c r="E531" s="31">
        <v>130936</v>
      </c>
      <c r="F531" s="29"/>
      <c r="G531" s="32">
        <v>45353</v>
      </c>
      <c r="H531" s="29"/>
      <c r="I531" s="5" t="s">
        <v>15</v>
      </c>
      <c r="J531" s="5" t="s">
        <v>30</v>
      </c>
      <c r="K531" s="5"/>
    </row>
    <row r="532" spans="1:11" ht="18.75" customHeight="1" x14ac:dyDescent="0.3">
      <c r="A532" s="30">
        <v>550</v>
      </c>
      <c r="B532" s="29"/>
      <c r="C532" s="5" t="s">
        <v>14</v>
      </c>
      <c r="D532" s="7">
        <v>220</v>
      </c>
      <c r="E532" s="31">
        <v>19209</v>
      </c>
      <c r="F532" s="29"/>
      <c r="G532" s="32">
        <v>45355</v>
      </c>
      <c r="H532" s="29"/>
      <c r="I532" s="5" t="s">
        <v>69</v>
      </c>
      <c r="J532" s="5" t="s">
        <v>77</v>
      </c>
      <c r="K532" s="5" t="s">
        <v>79</v>
      </c>
    </row>
    <row r="533" spans="1:11" ht="18.75" customHeight="1" x14ac:dyDescent="0.3">
      <c r="A533" s="30">
        <v>551</v>
      </c>
      <c r="B533" s="29"/>
      <c r="C533" s="5" t="s">
        <v>14</v>
      </c>
      <c r="D533" s="7">
        <v>146</v>
      </c>
      <c r="E533" s="31">
        <v>19223</v>
      </c>
      <c r="F533" s="29"/>
      <c r="G533" s="32">
        <v>45356</v>
      </c>
      <c r="H533" s="29"/>
      <c r="I533" s="5" t="s">
        <v>69</v>
      </c>
      <c r="J533" s="5" t="s">
        <v>77</v>
      </c>
      <c r="K533" s="5" t="s">
        <v>79</v>
      </c>
    </row>
    <row r="534" spans="1:11" ht="18.75" customHeight="1" x14ac:dyDescent="0.3">
      <c r="A534" s="30">
        <v>552</v>
      </c>
      <c r="B534" s="29"/>
      <c r="C534" s="5" t="s">
        <v>14</v>
      </c>
      <c r="D534" s="7">
        <v>201</v>
      </c>
      <c r="E534" s="31">
        <v>19229</v>
      </c>
      <c r="F534" s="29"/>
      <c r="G534" s="32">
        <v>45357</v>
      </c>
      <c r="H534" s="29"/>
      <c r="I534" s="5" t="s">
        <v>69</v>
      </c>
      <c r="J534" s="5" t="s">
        <v>77</v>
      </c>
      <c r="K534" s="5" t="s">
        <v>79</v>
      </c>
    </row>
    <row r="535" spans="1:11" ht="18.75" customHeight="1" x14ac:dyDescent="0.3">
      <c r="A535" s="30">
        <v>553</v>
      </c>
      <c r="B535" s="29"/>
      <c r="C535" s="5" t="s">
        <v>14</v>
      </c>
      <c r="D535" s="7">
        <v>195</v>
      </c>
      <c r="E535" s="31">
        <v>19246</v>
      </c>
      <c r="F535" s="29"/>
      <c r="G535" s="32">
        <v>45358</v>
      </c>
      <c r="H535" s="29"/>
      <c r="I535" s="5" t="s">
        <v>69</v>
      </c>
      <c r="J535" s="5" t="s">
        <v>77</v>
      </c>
      <c r="K535" s="5" t="s">
        <v>79</v>
      </c>
    </row>
    <row r="536" spans="1:11" ht="18.75" customHeight="1" x14ac:dyDescent="0.3">
      <c r="A536" s="30">
        <v>554</v>
      </c>
      <c r="B536" s="29"/>
      <c r="C536" s="5" t="s">
        <v>14</v>
      </c>
      <c r="D536" s="7">
        <v>160</v>
      </c>
      <c r="E536" s="31">
        <v>19257</v>
      </c>
      <c r="F536" s="29"/>
      <c r="G536" s="32">
        <v>45359</v>
      </c>
      <c r="H536" s="29"/>
      <c r="I536" s="5" t="s">
        <v>69</v>
      </c>
      <c r="J536" s="5" t="s">
        <v>77</v>
      </c>
      <c r="K536" s="5" t="s">
        <v>79</v>
      </c>
    </row>
    <row r="537" spans="1:11" ht="18.75" customHeight="1" x14ac:dyDescent="0.3">
      <c r="A537" s="30">
        <v>555</v>
      </c>
      <c r="B537" s="29"/>
      <c r="C537" s="5" t="s">
        <v>14</v>
      </c>
      <c r="D537" s="7">
        <v>191</v>
      </c>
      <c r="E537" s="31">
        <v>19265</v>
      </c>
      <c r="F537" s="29"/>
      <c r="G537" s="32">
        <v>45360</v>
      </c>
      <c r="H537" s="29"/>
      <c r="I537" s="5" t="s">
        <v>69</v>
      </c>
      <c r="J537" s="5" t="s">
        <v>77</v>
      </c>
      <c r="K537" s="5" t="s">
        <v>79</v>
      </c>
    </row>
    <row r="538" spans="1:11" ht="18.75" customHeight="1" x14ac:dyDescent="0.3">
      <c r="A538" s="30">
        <v>556</v>
      </c>
      <c r="B538" s="29"/>
      <c r="C538" s="5" t="s">
        <v>14</v>
      </c>
      <c r="D538" s="7">
        <v>185</v>
      </c>
      <c r="E538" s="31">
        <v>19273</v>
      </c>
      <c r="F538" s="29"/>
      <c r="G538" s="32">
        <v>45361</v>
      </c>
      <c r="H538" s="29"/>
      <c r="I538" s="5" t="s">
        <v>69</v>
      </c>
      <c r="J538" s="5" t="s">
        <v>77</v>
      </c>
      <c r="K538" s="5" t="s">
        <v>79</v>
      </c>
    </row>
    <row r="539" spans="1:11" ht="18.75" customHeight="1" x14ac:dyDescent="0.3">
      <c r="A539" s="30">
        <v>557</v>
      </c>
      <c r="B539" s="29"/>
      <c r="C539" s="5" t="s">
        <v>40</v>
      </c>
      <c r="D539" s="7">
        <v>450</v>
      </c>
      <c r="E539" s="31">
        <v>130646</v>
      </c>
      <c r="F539" s="29"/>
      <c r="G539" s="32">
        <v>45355</v>
      </c>
      <c r="H539" s="29"/>
      <c r="I539" s="5" t="s">
        <v>15</v>
      </c>
      <c r="J539" s="5" t="s">
        <v>30</v>
      </c>
      <c r="K539" s="5"/>
    </row>
    <row r="540" spans="1:11" ht="18.75" customHeight="1" x14ac:dyDescent="0.3">
      <c r="A540" s="30">
        <v>558</v>
      </c>
      <c r="B540" s="29"/>
      <c r="C540" s="5" t="s">
        <v>40</v>
      </c>
      <c r="D540" s="7">
        <v>522</v>
      </c>
      <c r="E540" s="31">
        <v>131515</v>
      </c>
      <c r="F540" s="29"/>
      <c r="G540" s="32">
        <v>45355</v>
      </c>
      <c r="H540" s="29"/>
      <c r="I540" s="5" t="s">
        <v>15</v>
      </c>
      <c r="J540" s="5" t="s">
        <v>30</v>
      </c>
      <c r="K540" s="5"/>
    </row>
    <row r="541" spans="1:11" ht="18.75" customHeight="1" x14ac:dyDescent="0.3">
      <c r="A541" s="30">
        <v>559</v>
      </c>
      <c r="B541" s="29"/>
      <c r="C541" s="5" t="s">
        <v>40</v>
      </c>
      <c r="D541" s="7">
        <v>460</v>
      </c>
      <c r="E541" s="31">
        <v>130651</v>
      </c>
      <c r="F541" s="29"/>
      <c r="G541" s="32">
        <v>45356</v>
      </c>
      <c r="H541" s="29"/>
      <c r="I541" s="5" t="s">
        <v>15</v>
      </c>
      <c r="J541" s="5" t="s">
        <v>30</v>
      </c>
      <c r="K541" s="5"/>
    </row>
    <row r="542" spans="1:11" ht="18.75" customHeight="1" x14ac:dyDescent="0.3">
      <c r="A542" s="30">
        <v>560</v>
      </c>
      <c r="B542" s="29"/>
      <c r="C542" s="5" t="s">
        <v>40</v>
      </c>
      <c r="D542" s="7">
        <v>527</v>
      </c>
      <c r="E542" s="31">
        <v>131521</v>
      </c>
      <c r="F542" s="29"/>
      <c r="G542" s="32">
        <v>45356</v>
      </c>
      <c r="H542" s="29"/>
      <c r="I542" s="5" t="s">
        <v>15</v>
      </c>
      <c r="J542" s="5" t="s">
        <v>30</v>
      </c>
      <c r="K542" s="5"/>
    </row>
    <row r="543" spans="1:11" ht="18.75" customHeight="1" x14ac:dyDescent="0.3">
      <c r="A543" s="30">
        <v>561</v>
      </c>
      <c r="B543" s="29"/>
      <c r="C543" s="5" t="s">
        <v>40</v>
      </c>
      <c r="D543" s="7">
        <v>520</v>
      </c>
      <c r="E543" s="31">
        <v>130658</v>
      </c>
      <c r="F543" s="29"/>
      <c r="G543" s="32">
        <v>45357</v>
      </c>
      <c r="H543" s="29"/>
      <c r="I543" s="5" t="s">
        <v>15</v>
      </c>
      <c r="J543" s="5" t="s">
        <v>30</v>
      </c>
      <c r="K543" s="5"/>
    </row>
    <row r="544" spans="1:11" ht="18.75" customHeight="1" x14ac:dyDescent="0.3">
      <c r="A544" s="30">
        <v>562</v>
      </c>
      <c r="B544" s="29"/>
      <c r="C544" s="5" t="s">
        <v>40</v>
      </c>
      <c r="D544" s="7">
        <v>392</v>
      </c>
      <c r="E544" s="31">
        <v>131744</v>
      </c>
      <c r="F544" s="29"/>
      <c r="G544" s="32">
        <v>45357</v>
      </c>
      <c r="H544" s="29"/>
      <c r="I544" s="5" t="s">
        <v>15</v>
      </c>
      <c r="J544" s="5" t="s">
        <v>30</v>
      </c>
      <c r="K544" s="5"/>
    </row>
    <row r="545" spans="1:11" ht="18.75" customHeight="1" x14ac:dyDescent="0.3">
      <c r="A545" s="30">
        <v>563</v>
      </c>
      <c r="B545" s="29"/>
      <c r="C545" s="5" t="s">
        <v>40</v>
      </c>
      <c r="D545" s="7">
        <v>420</v>
      </c>
      <c r="E545" s="31">
        <v>130663</v>
      </c>
      <c r="F545" s="29"/>
      <c r="G545" s="32">
        <v>45358</v>
      </c>
      <c r="H545" s="29"/>
      <c r="I545" s="5" t="s">
        <v>15</v>
      </c>
      <c r="J545" s="5" t="s">
        <v>30</v>
      </c>
      <c r="K545" s="5"/>
    </row>
    <row r="546" spans="1:11" ht="18.75" customHeight="1" x14ac:dyDescent="0.3">
      <c r="A546" s="30">
        <v>564</v>
      </c>
      <c r="B546" s="29"/>
      <c r="C546" s="5" t="s">
        <v>40</v>
      </c>
      <c r="D546" s="7">
        <v>508</v>
      </c>
      <c r="E546" s="31">
        <v>131750</v>
      </c>
      <c r="F546" s="29"/>
      <c r="G546" s="32">
        <v>45358</v>
      </c>
      <c r="H546" s="29"/>
      <c r="I546" s="5" t="s">
        <v>15</v>
      </c>
      <c r="J546" s="5" t="s">
        <v>30</v>
      </c>
      <c r="K546" s="5"/>
    </row>
    <row r="547" spans="1:11" ht="18.75" customHeight="1" x14ac:dyDescent="0.3">
      <c r="A547" s="30">
        <v>565</v>
      </c>
      <c r="B547" s="29"/>
      <c r="C547" s="5" t="s">
        <v>40</v>
      </c>
      <c r="D547" s="7">
        <v>420</v>
      </c>
      <c r="E547" s="31">
        <v>130669</v>
      </c>
      <c r="F547" s="29"/>
      <c r="G547" s="32">
        <v>45359</v>
      </c>
      <c r="H547" s="29"/>
      <c r="I547" s="5" t="s">
        <v>15</v>
      </c>
      <c r="J547" s="5" t="s">
        <v>30</v>
      </c>
      <c r="K547" s="5"/>
    </row>
    <row r="548" spans="1:11" ht="18.75" customHeight="1" x14ac:dyDescent="0.3">
      <c r="A548" s="30">
        <v>566</v>
      </c>
      <c r="B548" s="29"/>
      <c r="C548" s="5" t="s">
        <v>40</v>
      </c>
      <c r="D548" s="7">
        <v>400</v>
      </c>
      <c r="E548" s="31">
        <v>130673</v>
      </c>
      <c r="F548" s="29"/>
      <c r="G548" s="32">
        <v>45359</v>
      </c>
      <c r="H548" s="29"/>
      <c r="I548" s="5" t="s">
        <v>15</v>
      </c>
      <c r="J548" s="5" t="s">
        <v>30</v>
      </c>
      <c r="K548" s="5"/>
    </row>
    <row r="549" spans="1:11" ht="18.75" customHeight="1" x14ac:dyDescent="0.3">
      <c r="A549" s="30">
        <v>567</v>
      </c>
      <c r="B549" s="29"/>
      <c r="C549" s="5" t="s">
        <v>40</v>
      </c>
      <c r="D549" s="7">
        <v>416</v>
      </c>
      <c r="E549" s="31">
        <v>130676</v>
      </c>
      <c r="F549" s="29"/>
      <c r="G549" s="32">
        <v>45360</v>
      </c>
      <c r="H549" s="29"/>
      <c r="I549" s="5" t="s">
        <v>15</v>
      </c>
      <c r="J549" s="5" t="s">
        <v>30</v>
      </c>
      <c r="K549" s="5"/>
    </row>
    <row r="550" spans="1:11" ht="18.75" customHeight="1" x14ac:dyDescent="0.3">
      <c r="A550" s="30">
        <v>568</v>
      </c>
      <c r="B550" s="29"/>
      <c r="C550" s="5" t="s">
        <v>40</v>
      </c>
      <c r="D550" s="7">
        <v>383</v>
      </c>
      <c r="E550" s="31">
        <v>131758</v>
      </c>
      <c r="F550" s="29"/>
      <c r="G550" s="32">
        <v>45360</v>
      </c>
      <c r="H550" s="29"/>
      <c r="I550" s="5" t="s">
        <v>15</v>
      </c>
      <c r="J550" s="5" t="s">
        <v>30</v>
      </c>
      <c r="K550" s="5"/>
    </row>
    <row r="551" spans="1:11" ht="18.75" customHeight="1" x14ac:dyDescent="0.3">
      <c r="A551" s="30">
        <v>569</v>
      </c>
      <c r="B551" s="29"/>
      <c r="C551" s="5" t="s">
        <v>40</v>
      </c>
      <c r="D551" s="7">
        <v>380</v>
      </c>
      <c r="E551" s="31">
        <v>130683</v>
      </c>
      <c r="F551" s="29"/>
      <c r="G551" s="32">
        <v>45362</v>
      </c>
      <c r="H551" s="29"/>
      <c r="I551" s="5" t="s">
        <v>15</v>
      </c>
      <c r="J551" s="5" t="s">
        <v>30</v>
      </c>
      <c r="K551" s="5"/>
    </row>
    <row r="552" spans="1:11" ht="18.75" customHeight="1" x14ac:dyDescent="0.3">
      <c r="A552" s="30">
        <v>570</v>
      </c>
      <c r="B552" s="29"/>
      <c r="C552" s="5" t="s">
        <v>40</v>
      </c>
      <c r="D552" s="7">
        <v>512</v>
      </c>
      <c r="E552" s="31">
        <v>130420</v>
      </c>
      <c r="F552" s="29"/>
      <c r="G552" s="32">
        <v>45362</v>
      </c>
      <c r="H552" s="29"/>
      <c r="I552" s="5" t="s">
        <v>15</v>
      </c>
      <c r="J552" s="5" t="s">
        <v>30</v>
      </c>
      <c r="K552" s="5"/>
    </row>
    <row r="553" spans="1:11" ht="18.75" customHeight="1" x14ac:dyDescent="0.3">
      <c r="A553" s="30">
        <v>571</v>
      </c>
      <c r="B553" s="29"/>
      <c r="C553" s="5" t="s">
        <v>40</v>
      </c>
      <c r="D553" s="7">
        <v>442</v>
      </c>
      <c r="E553" s="31">
        <v>130690</v>
      </c>
      <c r="F553" s="29"/>
      <c r="G553" s="32">
        <v>45363</v>
      </c>
      <c r="H553" s="29"/>
      <c r="I553" s="5" t="s">
        <v>15</v>
      </c>
      <c r="J553" s="5" t="s">
        <v>30</v>
      </c>
      <c r="K553" s="5"/>
    </row>
    <row r="554" spans="1:11" ht="18.75" customHeight="1" x14ac:dyDescent="0.3">
      <c r="A554" s="30">
        <v>572</v>
      </c>
      <c r="B554" s="29"/>
      <c r="C554" s="5" t="s">
        <v>40</v>
      </c>
      <c r="D554" s="7">
        <v>367</v>
      </c>
      <c r="E554" s="31">
        <v>130429</v>
      </c>
      <c r="F554" s="29"/>
      <c r="G554" s="32">
        <v>45363</v>
      </c>
      <c r="H554" s="29"/>
      <c r="I554" s="5" t="s">
        <v>15</v>
      </c>
      <c r="J554" s="5" t="s">
        <v>30</v>
      </c>
      <c r="K554" s="5"/>
    </row>
    <row r="555" spans="1:11" ht="18.75" customHeight="1" x14ac:dyDescent="0.3">
      <c r="A555" s="30">
        <v>573</v>
      </c>
      <c r="B555" s="29"/>
      <c r="C555" s="5" t="s">
        <v>40</v>
      </c>
      <c r="D555" s="7">
        <v>485</v>
      </c>
      <c r="E555" s="31">
        <v>130301</v>
      </c>
      <c r="F555" s="29"/>
      <c r="G555" s="32">
        <v>45364</v>
      </c>
      <c r="H555" s="29"/>
      <c r="I555" s="5" t="s">
        <v>15</v>
      </c>
      <c r="J555" s="5" t="s">
        <v>30</v>
      </c>
      <c r="K555" s="5"/>
    </row>
    <row r="556" spans="1:11" ht="18.75" customHeight="1" x14ac:dyDescent="0.3">
      <c r="A556" s="30">
        <v>574</v>
      </c>
      <c r="B556" s="29"/>
      <c r="C556" s="5" t="s">
        <v>40</v>
      </c>
      <c r="D556" s="7">
        <v>525</v>
      </c>
      <c r="E556" s="31">
        <v>130305</v>
      </c>
      <c r="F556" s="29"/>
      <c r="G556" s="32">
        <v>45364</v>
      </c>
      <c r="H556" s="29"/>
      <c r="I556" s="5" t="s">
        <v>15</v>
      </c>
      <c r="J556" s="5" t="s">
        <v>30</v>
      </c>
      <c r="K556" s="5"/>
    </row>
    <row r="557" spans="1:11" ht="18.75" customHeight="1" x14ac:dyDescent="0.3">
      <c r="A557" s="30">
        <v>575</v>
      </c>
      <c r="B557" s="29"/>
      <c r="C557" s="5" t="s">
        <v>40</v>
      </c>
      <c r="D557" s="7">
        <v>369</v>
      </c>
      <c r="E557" s="31">
        <v>131778</v>
      </c>
      <c r="F557" s="29"/>
      <c r="G557" s="32">
        <v>45365</v>
      </c>
      <c r="H557" s="29"/>
      <c r="I557" s="5" t="s">
        <v>15</v>
      </c>
      <c r="J557" s="5" t="s">
        <v>30</v>
      </c>
      <c r="K557" s="5"/>
    </row>
    <row r="558" spans="1:11" ht="18.75" customHeight="1" x14ac:dyDescent="0.3">
      <c r="A558" s="30">
        <v>576</v>
      </c>
      <c r="B558" s="29"/>
      <c r="C558" s="5" t="s">
        <v>40</v>
      </c>
      <c r="D558" s="7">
        <v>530</v>
      </c>
      <c r="E558" s="31">
        <v>130320</v>
      </c>
      <c r="F558" s="29"/>
      <c r="G558" s="32">
        <v>45365</v>
      </c>
      <c r="H558" s="29"/>
      <c r="I558" s="5" t="s">
        <v>15</v>
      </c>
      <c r="J558" s="5" t="s">
        <v>30</v>
      </c>
      <c r="K558" s="5"/>
    </row>
    <row r="559" spans="1:11" ht="18.75" customHeight="1" x14ac:dyDescent="0.3">
      <c r="A559" s="30">
        <v>577</v>
      </c>
      <c r="B559" s="29"/>
      <c r="C559" s="5" t="s">
        <v>40</v>
      </c>
      <c r="D559" s="7">
        <v>476</v>
      </c>
      <c r="E559" s="31">
        <v>130436</v>
      </c>
      <c r="F559" s="29"/>
      <c r="G559" s="32">
        <v>45366</v>
      </c>
      <c r="H559" s="29"/>
      <c r="I559" s="5" t="s">
        <v>15</v>
      </c>
      <c r="J559" s="5" t="s">
        <v>30</v>
      </c>
      <c r="K559" s="5"/>
    </row>
    <row r="560" spans="1:11" ht="18.75" customHeight="1" x14ac:dyDescent="0.3">
      <c r="A560" s="30">
        <v>578</v>
      </c>
      <c r="B560" s="29"/>
      <c r="C560" s="5" t="s">
        <v>40</v>
      </c>
      <c r="D560" s="7">
        <v>525</v>
      </c>
      <c r="E560" s="31">
        <v>130311</v>
      </c>
      <c r="F560" s="29"/>
      <c r="G560" s="32">
        <v>45366</v>
      </c>
      <c r="H560" s="29"/>
      <c r="I560" s="5" t="s">
        <v>15</v>
      </c>
      <c r="J560" s="5" t="s">
        <v>30</v>
      </c>
      <c r="K560" s="5"/>
    </row>
    <row r="561" spans="1:11" ht="18.75" customHeight="1" x14ac:dyDescent="0.3">
      <c r="A561" s="30">
        <v>579</v>
      </c>
      <c r="B561" s="29"/>
      <c r="C561" s="5" t="s">
        <v>40</v>
      </c>
      <c r="D561" s="7">
        <v>525</v>
      </c>
      <c r="E561" s="31">
        <v>130327</v>
      </c>
      <c r="F561" s="29"/>
      <c r="G561" s="32">
        <v>45367</v>
      </c>
      <c r="H561" s="29"/>
      <c r="I561" s="5" t="s">
        <v>15</v>
      </c>
      <c r="J561" s="5" t="s">
        <v>30</v>
      </c>
      <c r="K561" s="5"/>
    </row>
    <row r="562" spans="1:11" ht="18.75" customHeight="1" x14ac:dyDescent="0.3">
      <c r="A562" s="30">
        <v>580</v>
      </c>
      <c r="B562" s="29"/>
      <c r="C562" s="5" t="s">
        <v>40</v>
      </c>
      <c r="D562" s="7">
        <v>344</v>
      </c>
      <c r="E562" s="31">
        <v>130439</v>
      </c>
      <c r="F562" s="29"/>
      <c r="G562" s="32">
        <v>45367</v>
      </c>
      <c r="H562" s="29"/>
      <c r="I562" s="5" t="s">
        <v>15</v>
      </c>
      <c r="J562" s="5" t="s">
        <v>30</v>
      </c>
      <c r="K562" s="5"/>
    </row>
    <row r="563" spans="1:11" ht="18.75" customHeight="1" x14ac:dyDescent="0.3">
      <c r="A563" s="30">
        <v>581</v>
      </c>
      <c r="B563" s="29"/>
      <c r="C563" s="5" t="s">
        <v>14</v>
      </c>
      <c r="D563" s="7">
        <v>279</v>
      </c>
      <c r="E563" s="31">
        <v>19279</v>
      </c>
      <c r="F563" s="29"/>
      <c r="G563" s="32">
        <v>45362</v>
      </c>
      <c r="H563" s="29"/>
      <c r="I563" s="5" t="s">
        <v>69</v>
      </c>
      <c r="J563" s="5" t="s">
        <v>77</v>
      </c>
      <c r="K563" s="5" t="s">
        <v>79</v>
      </c>
    </row>
    <row r="564" spans="1:11" ht="18.75" customHeight="1" x14ac:dyDescent="0.3">
      <c r="A564" s="30">
        <v>582</v>
      </c>
      <c r="B564" s="29"/>
      <c r="C564" s="5" t="s">
        <v>14</v>
      </c>
      <c r="D564" s="7">
        <v>178</v>
      </c>
      <c r="E564" s="31">
        <v>19291</v>
      </c>
      <c r="F564" s="29"/>
      <c r="G564" s="32">
        <v>45363</v>
      </c>
      <c r="H564" s="29"/>
      <c r="I564" s="5" t="s">
        <v>69</v>
      </c>
      <c r="J564" s="5" t="s">
        <v>77</v>
      </c>
      <c r="K564" s="5" t="s">
        <v>79</v>
      </c>
    </row>
    <row r="565" spans="1:11" ht="18.75" customHeight="1" x14ac:dyDescent="0.3">
      <c r="A565" s="30">
        <v>583</v>
      </c>
      <c r="B565" s="29"/>
      <c r="C565" s="5" t="s">
        <v>14</v>
      </c>
      <c r="D565" s="7">
        <v>218</v>
      </c>
      <c r="E565" s="31">
        <v>19299</v>
      </c>
      <c r="F565" s="29"/>
      <c r="G565" s="32">
        <v>45364</v>
      </c>
      <c r="H565" s="29"/>
      <c r="I565" s="5" t="s">
        <v>69</v>
      </c>
      <c r="J565" s="5" t="s">
        <v>77</v>
      </c>
      <c r="K565" s="5" t="s">
        <v>79</v>
      </c>
    </row>
    <row r="566" spans="1:11" ht="18.75" customHeight="1" x14ac:dyDescent="0.3">
      <c r="A566" s="30">
        <v>584</v>
      </c>
      <c r="B566" s="29"/>
      <c r="C566" s="5" t="s">
        <v>14</v>
      </c>
      <c r="D566" s="7">
        <v>220</v>
      </c>
      <c r="E566" s="31">
        <v>19310</v>
      </c>
      <c r="F566" s="29"/>
      <c r="G566" s="32">
        <v>45365</v>
      </c>
      <c r="H566" s="29"/>
      <c r="I566" s="5" t="s">
        <v>69</v>
      </c>
      <c r="J566" s="5" t="s">
        <v>77</v>
      </c>
      <c r="K566" s="5" t="s">
        <v>79</v>
      </c>
    </row>
    <row r="567" spans="1:11" ht="18.75" customHeight="1" x14ac:dyDescent="0.3">
      <c r="A567" s="30">
        <v>585</v>
      </c>
      <c r="B567" s="29"/>
      <c r="C567" s="5" t="s">
        <v>14</v>
      </c>
      <c r="D567" s="7">
        <v>188</v>
      </c>
      <c r="E567" s="31">
        <v>19319</v>
      </c>
      <c r="F567" s="29"/>
      <c r="G567" s="32">
        <v>45366</v>
      </c>
      <c r="H567" s="29"/>
      <c r="I567" s="5" t="s">
        <v>69</v>
      </c>
      <c r="J567" s="5" t="s">
        <v>77</v>
      </c>
      <c r="K567" s="5" t="s">
        <v>79</v>
      </c>
    </row>
    <row r="568" spans="1:11" ht="18.75" customHeight="1" x14ac:dyDescent="0.3">
      <c r="A568" s="30">
        <v>586</v>
      </c>
      <c r="B568" s="29"/>
      <c r="C568" s="5" t="s">
        <v>14</v>
      </c>
      <c r="D568" s="7">
        <v>173</v>
      </c>
      <c r="E568" s="31">
        <v>19327</v>
      </c>
      <c r="F568" s="29"/>
      <c r="G568" s="32">
        <v>45367</v>
      </c>
      <c r="H568" s="29"/>
      <c r="I568" s="5" t="s">
        <v>69</v>
      </c>
      <c r="J568" s="5" t="s">
        <v>77</v>
      </c>
      <c r="K568" s="5" t="s">
        <v>79</v>
      </c>
    </row>
    <row r="569" spans="1:11" ht="18.75" customHeight="1" x14ac:dyDescent="0.3">
      <c r="A569" s="30">
        <v>587</v>
      </c>
      <c r="B569" s="29"/>
      <c r="C569" s="5" t="s">
        <v>14</v>
      </c>
      <c r="D569" s="7">
        <v>260</v>
      </c>
      <c r="E569" s="31">
        <v>19337</v>
      </c>
      <c r="F569" s="29"/>
      <c r="G569" s="32">
        <v>45368</v>
      </c>
      <c r="H569" s="29"/>
      <c r="I569" s="5" t="s">
        <v>69</v>
      </c>
      <c r="J569" s="5" t="s">
        <v>77</v>
      </c>
      <c r="K569" s="5" t="s">
        <v>79</v>
      </c>
    </row>
    <row r="570" spans="1:11" ht="18.75" customHeight="1" x14ac:dyDescent="0.3">
      <c r="A570" s="30">
        <v>588</v>
      </c>
      <c r="B570" s="29"/>
      <c r="C570" s="5" t="s">
        <v>40</v>
      </c>
      <c r="D570" s="7">
        <v>488</v>
      </c>
      <c r="E570" s="31">
        <v>130340</v>
      </c>
      <c r="F570" s="29"/>
      <c r="G570" s="32">
        <v>45369</v>
      </c>
      <c r="H570" s="29"/>
      <c r="I570" s="5" t="s">
        <v>15</v>
      </c>
      <c r="J570" s="5" t="s">
        <v>30</v>
      </c>
      <c r="K570" s="5"/>
    </row>
    <row r="571" spans="1:11" ht="18.75" customHeight="1" x14ac:dyDescent="0.3">
      <c r="A571" s="30">
        <v>589</v>
      </c>
      <c r="B571" s="29"/>
      <c r="C571" s="5" t="s">
        <v>40</v>
      </c>
      <c r="D571" s="7">
        <v>416</v>
      </c>
      <c r="E571" s="31">
        <v>130348</v>
      </c>
      <c r="F571" s="29"/>
      <c r="G571" s="32">
        <v>45369</v>
      </c>
      <c r="H571" s="29"/>
      <c r="I571" s="5" t="s">
        <v>15</v>
      </c>
      <c r="J571" s="5" t="s">
        <v>30</v>
      </c>
      <c r="K571" s="5"/>
    </row>
    <row r="572" spans="1:11" ht="18.75" customHeight="1" x14ac:dyDescent="0.3">
      <c r="A572" s="30">
        <v>590</v>
      </c>
      <c r="B572" s="29"/>
      <c r="C572" s="5" t="s">
        <v>40</v>
      </c>
      <c r="D572" s="7">
        <v>520</v>
      </c>
      <c r="E572" s="31">
        <v>131790</v>
      </c>
      <c r="F572" s="29"/>
      <c r="G572" s="32">
        <v>45370</v>
      </c>
      <c r="H572" s="29"/>
      <c r="I572" s="5" t="s">
        <v>15</v>
      </c>
      <c r="J572" s="5" t="s">
        <v>30</v>
      </c>
      <c r="K572" s="5"/>
    </row>
    <row r="573" spans="1:11" ht="18.75" customHeight="1" x14ac:dyDescent="0.3">
      <c r="A573" s="30">
        <v>591</v>
      </c>
      <c r="B573" s="29"/>
      <c r="C573" s="5" t="s">
        <v>40</v>
      </c>
      <c r="D573" s="7">
        <v>400</v>
      </c>
      <c r="E573" s="31">
        <v>130357</v>
      </c>
      <c r="F573" s="29"/>
      <c r="G573" s="32">
        <v>45370</v>
      </c>
      <c r="H573" s="29"/>
      <c r="I573" s="5" t="s">
        <v>15</v>
      </c>
      <c r="J573" s="5" t="s">
        <v>30</v>
      </c>
      <c r="K573" s="5"/>
    </row>
    <row r="574" spans="1:11" ht="18.75" customHeight="1" x14ac:dyDescent="0.3">
      <c r="A574" s="30">
        <v>592</v>
      </c>
      <c r="B574" s="29"/>
      <c r="C574" s="5" t="s">
        <v>40</v>
      </c>
      <c r="D574" s="7">
        <v>520</v>
      </c>
      <c r="E574" s="31">
        <v>131794</v>
      </c>
      <c r="F574" s="29"/>
      <c r="G574" s="32">
        <v>45371</v>
      </c>
      <c r="H574" s="29"/>
      <c r="I574" s="5" t="s">
        <v>15</v>
      </c>
      <c r="J574" s="5" t="s">
        <v>30</v>
      </c>
      <c r="K574" s="5"/>
    </row>
    <row r="575" spans="1:11" ht="18.75" customHeight="1" x14ac:dyDescent="0.3">
      <c r="A575" s="30">
        <v>593</v>
      </c>
      <c r="B575" s="29"/>
      <c r="C575" s="5" t="s">
        <v>40</v>
      </c>
      <c r="D575" s="7">
        <v>525</v>
      </c>
      <c r="E575" s="31">
        <v>130366</v>
      </c>
      <c r="F575" s="29"/>
      <c r="G575" s="32">
        <v>45371</v>
      </c>
      <c r="H575" s="29"/>
      <c r="I575" s="5" t="s">
        <v>15</v>
      </c>
      <c r="J575" s="5" t="s">
        <v>30</v>
      </c>
      <c r="K575" s="5"/>
    </row>
    <row r="576" spans="1:11" ht="18.75" customHeight="1" x14ac:dyDescent="0.3">
      <c r="A576" s="30">
        <v>594</v>
      </c>
      <c r="B576" s="29"/>
      <c r="C576" s="5" t="s">
        <v>40</v>
      </c>
      <c r="D576" s="7">
        <v>463</v>
      </c>
      <c r="E576" s="31">
        <v>130373</v>
      </c>
      <c r="F576" s="29"/>
      <c r="G576" s="32">
        <v>45372</v>
      </c>
      <c r="H576" s="29"/>
      <c r="I576" s="5" t="s">
        <v>15</v>
      </c>
      <c r="J576" s="5" t="s">
        <v>30</v>
      </c>
      <c r="K576" s="5"/>
    </row>
    <row r="577" spans="1:11" ht="18.75" customHeight="1" x14ac:dyDescent="0.3">
      <c r="A577" s="30">
        <v>595</v>
      </c>
      <c r="B577" s="29"/>
      <c r="C577" s="5" t="s">
        <v>40</v>
      </c>
      <c r="D577" s="7">
        <v>665</v>
      </c>
      <c r="E577" s="31">
        <v>130379</v>
      </c>
      <c r="F577" s="29"/>
      <c r="G577" s="32">
        <v>45372</v>
      </c>
      <c r="H577" s="29"/>
      <c r="I577" s="5" t="s">
        <v>15</v>
      </c>
      <c r="J577" s="5" t="s">
        <v>30</v>
      </c>
      <c r="K577" s="5"/>
    </row>
    <row r="578" spans="1:11" ht="18.75" customHeight="1" x14ac:dyDescent="0.3">
      <c r="A578" s="30">
        <v>596</v>
      </c>
      <c r="B578" s="29"/>
      <c r="C578" s="5" t="s">
        <v>40</v>
      </c>
      <c r="D578" s="7">
        <v>485</v>
      </c>
      <c r="E578" s="31">
        <v>130382</v>
      </c>
      <c r="F578" s="29"/>
      <c r="G578" s="32">
        <v>45373</v>
      </c>
      <c r="H578" s="29"/>
      <c r="I578" s="5" t="s">
        <v>15</v>
      </c>
      <c r="J578" s="5" t="s">
        <v>30</v>
      </c>
      <c r="K578" s="5"/>
    </row>
    <row r="579" spans="1:11" ht="18.75" customHeight="1" x14ac:dyDescent="0.3">
      <c r="A579" s="30">
        <v>597</v>
      </c>
      <c r="B579" s="29"/>
      <c r="C579" s="5" t="s">
        <v>40</v>
      </c>
      <c r="D579" s="7">
        <v>407</v>
      </c>
      <c r="E579" s="31">
        <v>130387</v>
      </c>
      <c r="F579" s="29"/>
      <c r="G579" s="32">
        <v>45373</v>
      </c>
      <c r="H579" s="29"/>
      <c r="I579" s="5" t="s">
        <v>15</v>
      </c>
      <c r="J579" s="5" t="s">
        <v>30</v>
      </c>
      <c r="K579" s="5"/>
    </row>
    <row r="580" spans="1:11" ht="18.75" customHeight="1" x14ac:dyDescent="0.3">
      <c r="A580" s="30">
        <v>598</v>
      </c>
      <c r="B580" s="29"/>
      <c r="C580" s="5" t="s">
        <v>40</v>
      </c>
      <c r="D580" s="7">
        <v>410</v>
      </c>
      <c r="E580" s="31">
        <v>130389</v>
      </c>
      <c r="F580" s="29"/>
      <c r="G580" s="32">
        <v>45374</v>
      </c>
      <c r="H580" s="29"/>
      <c r="I580" s="5" t="s">
        <v>15</v>
      </c>
      <c r="J580" s="5" t="s">
        <v>30</v>
      </c>
      <c r="K580" s="5"/>
    </row>
    <row r="581" spans="1:11" ht="18.75" customHeight="1" x14ac:dyDescent="0.3">
      <c r="A581" s="30">
        <v>599</v>
      </c>
      <c r="B581" s="29"/>
      <c r="C581" s="5" t="s">
        <v>40</v>
      </c>
      <c r="D581" s="7">
        <v>385</v>
      </c>
      <c r="E581" s="31">
        <v>130395</v>
      </c>
      <c r="F581" s="29"/>
      <c r="G581" s="32">
        <v>45374</v>
      </c>
      <c r="H581" s="29"/>
      <c r="I581" s="5" t="s">
        <v>15</v>
      </c>
      <c r="J581" s="5" t="s">
        <v>30</v>
      </c>
      <c r="K581" s="5"/>
    </row>
    <row r="582" spans="1:11" ht="18.75" customHeight="1" x14ac:dyDescent="0.3">
      <c r="A582" s="30">
        <v>600</v>
      </c>
      <c r="B582" s="29"/>
      <c r="C582" s="5" t="s">
        <v>14</v>
      </c>
      <c r="D582" s="7">
        <v>220</v>
      </c>
      <c r="E582" s="31">
        <v>19342</v>
      </c>
      <c r="F582" s="29"/>
      <c r="G582" s="32">
        <v>45369</v>
      </c>
      <c r="H582" s="29"/>
      <c r="I582" s="5" t="s">
        <v>69</v>
      </c>
      <c r="J582" s="5" t="s">
        <v>77</v>
      </c>
      <c r="K582" s="5" t="s">
        <v>79</v>
      </c>
    </row>
    <row r="583" spans="1:11" ht="18.75" customHeight="1" x14ac:dyDescent="0.3">
      <c r="A583" s="30">
        <v>601</v>
      </c>
      <c r="B583" s="29"/>
      <c r="C583" s="5" t="s">
        <v>14</v>
      </c>
      <c r="D583" s="7">
        <v>172</v>
      </c>
      <c r="E583" s="31">
        <v>19358</v>
      </c>
      <c r="F583" s="29"/>
      <c r="G583" s="32">
        <v>45370</v>
      </c>
      <c r="H583" s="29"/>
      <c r="I583" s="5" t="s">
        <v>69</v>
      </c>
      <c r="J583" s="5" t="s">
        <v>77</v>
      </c>
      <c r="K583" s="5" t="s">
        <v>79</v>
      </c>
    </row>
    <row r="584" spans="1:11" ht="18.75" customHeight="1" x14ac:dyDescent="0.3">
      <c r="A584" s="30">
        <v>602</v>
      </c>
      <c r="B584" s="29"/>
      <c r="C584" s="5" t="s">
        <v>14</v>
      </c>
      <c r="D584" s="7">
        <v>164</v>
      </c>
      <c r="E584" s="31">
        <v>19363</v>
      </c>
      <c r="F584" s="29"/>
      <c r="G584" s="32">
        <v>45371</v>
      </c>
      <c r="H584" s="29"/>
      <c r="I584" s="5" t="s">
        <v>69</v>
      </c>
      <c r="J584" s="5" t="s">
        <v>77</v>
      </c>
      <c r="K584" s="5" t="s">
        <v>79</v>
      </c>
    </row>
    <row r="585" spans="1:11" ht="18.75" customHeight="1" x14ac:dyDescent="0.3">
      <c r="A585" s="30">
        <v>603</v>
      </c>
      <c r="B585" s="29"/>
      <c r="C585" s="5" t="s">
        <v>14</v>
      </c>
      <c r="D585" s="7">
        <v>182</v>
      </c>
      <c r="E585" s="31">
        <v>19375</v>
      </c>
      <c r="F585" s="29"/>
      <c r="G585" s="32">
        <v>45372</v>
      </c>
      <c r="H585" s="29"/>
      <c r="I585" s="5" t="s">
        <v>69</v>
      </c>
      <c r="J585" s="5" t="s">
        <v>77</v>
      </c>
      <c r="K585" s="5" t="s">
        <v>79</v>
      </c>
    </row>
    <row r="586" spans="1:11" ht="18.75" customHeight="1" x14ac:dyDescent="0.3">
      <c r="A586" s="30">
        <v>604</v>
      </c>
      <c r="B586" s="29"/>
      <c r="C586" s="5" t="s">
        <v>14</v>
      </c>
      <c r="D586" s="7">
        <v>165</v>
      </c>
      <c r="E586" s="31">
        <v>19384</v>
      </c>
      <c r="F586" s="29"/>
      <c r="G586" s="32">
        <v>45373</v>
      </c>
      <c r="H586" s="29"/>
      <c r="I586" s="5" t="s">
        <v>69</v>
      </c>
      <c r="J586" s="5" t="s">
        <v>77</v>
      </c>
      <c r="K586" s="5" t="s">
        <v>79</v>
      </c>
    </row>
    <row r="587" spans="1:11" ht="18.75" customHeight="1" x14ac:dyDescent="0.3">
      <c r="A587" s="30">
        <v>605</v>
      </c>
      <c r="B587" s="29"/>
      <c r="C587" s="5" t="s">
        <v>14</v>
      </c>
      <c r="D587" s="7">
        <v>207</v>
      </c>
      <c r="E587" s="31">
        <v>19398</v>
      </c>
      <c r="F587" s="29"/>
      <c r="G587" s="32">
        <v>45374</v>
      </c>
      <c r="H587" s="29"/>
      <c r="I587" s="5" t="s">
        <v>69</v>
      </c>
      <c r="J587" s="5" t="s">
        <v>77</v>
      </c>
      <c r="K587" s="5" t="s">
        <v>79</v>
      </c>
    </row>
    <row r="588" spans="1:11" ht="18.75" customHeight="1" x14ac:dyDescent="0.3">
      <c r="A588" s="30">
        <v>606</v>
      </c>
      <c r="B588" s="29"/>
      <c r="C588" s="5" t="s">
        <v>14</v>
      </c>
      <c r="D588" s="7">
        <v>164</v>
      </c>
      <c r="E588" s="31">
        <v>19404</v>
      </c>
      <c r="F588" s="29"/>
      <c r="G588" s="32">
        <v>45374</v>
      </c>
      <c r="H588" s="29"/>
      <c r="I588" s="5" t="s">
        <v>69</v>
      </c>
      <c r="J588" s="5" t="s">
        <v>77</v>
      </c>
      <c r="K588" s="5" t="s">
        <v>79</v>
      </c>
    </row>
    <row r="589" spans="1:11" ht="18.75" customHeight="1" x14ac:dyDescent="0.3">
      <c r="A589" s="30">
        <v>607</v>
      </c>
      <c r="B589" s="29"/>
      <c r="C589" s="5" t="s">
        <v>14</v>
      </c>
      <c r="D589" s="7">
        <v>206</v>
      </c>
      <c r="E589" s="31">
        <v>19414</v>
      </c>
      <c r="F589" s="29"/>
      <c r="G589" s="32">
        <v>45376</v>
      </c>
      <c r="H589" s="29"/>
      <c r="I589" s="5" t="s">
        <v>69</v>
      </c>
      <c r="J589" s="5" t="s">
        <v>77</v>
      </c>
      <c r="K589" s="5" t="s">
        <v>79</v>
      </c>
    </row>
    <row r="590" spans="1:11" ht="18.75" customHeight="1" x14ac:dyDescent="0.3">
      <c r="A590" s="30">
        <v>608</v>
      </c>
      <c r="B590" s="29"/>
      <c r="C590" s="5" t="s">
        <v>14</v>
      </c>
      <c r="D590" s="7">
        <v>165</v>
      </c>
      <c r="E590" s="31">
        <v>19429</v>
      </c>
      <c r="F590" s="29"/>
      <c r="G590" s="32">
        <v>45377</v>
      </c>
      <c r="H590" s="29"/>
      <c r="I590" s="5" t="s">
        <v>69</v>
      </c>
      <c r="J590" s="5" t="s">
        <v>77</v>
      </c>
      <c r="K590" s="5" t="s">
        <v>79</v>
      </c>
    </row>
    <row r="591" spans="1:11" ht="18.75" customHeight="1" x14ac:dyDescent="0.3">
      <c r="A591" s="30">
        <v>609</v>
      </c>
      <c r="B591" s="29"/>
      <c r="C591" s="5" t="s">
        <v>14</v>
      </c>
      <c r="D591" s="7">
        <v>223</v>
      </c>
      <c r="E591" s="31">
        <v>19438</v>
      </c>
      <c r="F591" s="29"/>
      <c r="G591" s="32">
        <v>45378</v>
      </c>
      <c r="H591" s="29"/>
      <c r="I591" s="5" t="s">
        <v>69</v>
      </c>
      <c r="J591" s="5" t="s">
        <v>77</v>
      </c>
      <c r="K591" s="5" t="s">
        <v>79</v>
      </c>
    </row>
    <row r="592" spans="1:11" ht="18.75" customHeight="1" x14ac:dyDescent="0.3">
      <c r="A592" s="30">
        <v>610</v>
      </c>
      <c r="B592" s="29"/>
      <c r="C592" s="5" t="s">
        <v>14</v>
      </c>
      <c r="D592" s="7">
        <v>204</v>
      </c>
      <c r="E592" s="31">
        <v>96298</v>
      </c>
      <c r="F592" s="29"/>
      <c r="G592" s="32">
        <v>45379</v>
      </c>
      <c r="H592" s="29"/>
      <c r="I592" s="5" t="s">
        <v>69</v>
      </c>
      <c r="J592" s="5" t="s">
        <v>77</v>
      </c>
      <c r="K592" s="5" t="s">
        <v>79</v>
      </c>
    </row>
    <row r="593" spans="1:11" ht="18.75" customHeight="1" x14ac:dyDescent="0.3">
      <c r="A593" s="30">
        <v>611</v>
      </c>
      <c r="B593" s="29"/>
      <c r="C593" s="5" t="s">
        <v>14</v>
      </c>
      <c r="D593" s="7">
        <v>214</v>
      </c>
      <c r="E593" s="31">
        <v>19450</v>
      </c>
      <c r="F593" s="29"/>
      <c r="G593" s="32">
        <v>45381</v>
      </c>
      <c r="H593" s="29"/>
      <c r="I593" s="5" t="s">
        <v>69</v>
      </c>
      <c r="J593" s="5" t="s">
        <v>77</v>
      </c>
      <c r="K593" s="5" t="s">
        <v>79</v>
      </c>
    </row>
    <row r="594" spans="1:11" ht="18.75" customHeight="1" x14ac:dyDescent="0.3">
      <c r="A594" s="30">
        <v>612</v>
      </c>
      <c r="B594" s="29"/>
      <c r="C594" s="5" t="s">
        <v>14</v>
      </c>
      <c r="D594" s="7">
        <v>195</v>
      </c>
      <c r="E594" s="31">
        <v>19455</v>
      </c>
      <c r="F594" s="29"/>
      <c r="G594" s="32">
        <v>45382</v>
      </c>
      <c r="H594" s="29"/>
      <c r="I594" s="5" t="s">
        <v>69</v>
      </c>
      <c r="J594" s="5" t="s">
        <v>77</v>
      </c>
      <c r="K594" s="5" t="s">
        <v>79</v>
      </c>
    </row>
    <row r="595" spans="1:11" ht="18.75" customHeight="1" x14ac:dyDescent="0.3">
      <c r="A595" s="30">
        <v>613</v>
      </c>
      <c r="B595" s="29"/>
      <c r="C595" s="5" t="s">
        <v>40</v>
      </c>
      <c r="D595" s="7">
        <v>525</v>
      </c>
      <c r="E595" s="31">
        <v>130396</v>
      </c>
      <c r="F595" s="29"/>
      <c r="G595" s="32">
        <v>45375</v>
      </c>
      <c r="H595" s="29"/>
      <c r="I595" s="5" t="s">
        <v>15</v>
      </c>
      <c r="J595" s="5" t="s">
        <v>30</v>
      </c>
      <c r="K595" s="5"/>
    </row>
    <row r="596" spans="1:11" ht="18.75" customHeight="1" x14ac:dyDescent="0.3">
      <c r="A596" s="30">
        <v>614</v>
      </c>
      <c r="B596" s="29"/>
      <c r="C596" s="5" t="s">
        <v>40</v>
      </c>
      <c r="D596" s="7">
        <v>415</v>
      </c>
      <c r="E596" s="31">
        <v>130202</v>
      </c>
      <c r="F596" s="29"/>
      <c r="G596" s="32">
        <v>45375</v>
      </c>
      <c r="H596" s="29"/>
      <c r="I596" s="5" t="s">
        <v>15</v>
      </c>
      <c r="J596" s="5" t="s">
        <v>30</v>
      </c>
      <c r="K596" s="5"/>
    </row>
    <row r="597" spans="1:11" ht="18.75" customHeight="1" x14ac:dyDescent="0.3">
      <c r="A597" s="30">
        <v>615</v>
      </c>
      <c r="B597" s="29"/>
      <c r="C597" s="5" t="s">
        <v>40</v>
      </c>
      <c r="D597" s="7">
        <v>400</v>
      </c>
      <c r="E597" s="31">
        <v>131533</v>
      </c>
      <c r="F597" s="29"/>
      <c r="G597" s="32">
        <v>45376</v>
      </c>
      <c r="H597" s="29"/>
      <c r="I597" s="5" t="s">
        <v>15</v>
      </c>
      <c r="J597" s="5" t="s">
        <v>30</v>
      </c>
      <c r="K597" s="5"/>
    </row>
    <row r="598" spans="1:11" ht="18.75" customHeight="1" x14ac:dyDescent="0.3">
      <c r="A598" s="30">
        <v>616</v>
      </c>
      <c r="B598" s="29"/>
      <c r="C598" s="5" t="s">
        <v>40</v>
      </c>
      <c r="D598" s="7">
        <v>512</v>
      </c>
      <c r="E598" s="31">
        <v>130271</v>
      </c>
      <c r="F598" s="29"/>
      <c r="G598" s="32">
        <v>45377</v>
      </c>
      <c r="H598" s="29"/>
      <c r="I598" s="5" t="s">
        <v>15</v>
      </c>
      <c r="J598" s="5" t="s">
        <v>30</v>
      </c>
      <c r="K598" s="5"/>
    </row>
    <row r="599" spans="1:11" ht="18.75" customHeight="1" x14ac:dyDescent="0.3">
      <c r="A599" s="30">
        <v>617</v>
      </c>
      <c r="B599" s="29"/>
      <c r="C599" s="5" t="s">
        <v>40</v>
      </c>
      <c r="D599" s="7">
        <v>422</v>
      </c>
      <c r="E599" s="31">
        <v>130211</v>
      </c>
      <c r="F599" s="29"/>
      <c r="G599" s="32">
        <v>45377</v>
      </c>
      <c r="H599" s="29"/>
      <c r="I599" s="5" t="s">
        <v>15</v>
      </c>
      <c r="J599" s="5" t="s">
        <v>30</v>
      </c>
      <c r="K599" s="5"/>
    </row>
    <row r="600" spans="1:11" ht="18.75" customHeight="1" x14ac:dyDescent="0.3">
      <c r="A600" s="30">
        <v>618</v>
      </c>
      <c r="B600" s="29"/>
      <c r="C600" s="5" t="s">
        <v>40</v>
      </c>
      <c r="D600" s="7">
        <v>513</v>
      </c>
      <c r="E600" s="31">
        <v>130261</v>
      </c>
      <c r="F600" s="29"/>
      <c r="G600" s="32">
        <v>45379</v>
      </c>
      <c r="H600" s="29"/>
      <c r="I600" s="5" t="s">
        <v>15</v>
      </c>
      <c r="J600" s="5" t="s">
        <v>30</v>
      </c>
      <c r="K600" s="5"/>
    </row>
    <row r="601" spans="1:11" ht="18.75" customHeight="1" x14ac:dyDescent="0.3">
      <c r="A601" s="30">
        <v>619</v>
      </c>
      <c r="B601" s="29"/>
      <c r="C601" s="5" t="s">
        <v>14</v>
      </c>
      <c r="D601" s="7">
        <v>223</v>
      </c>
      <c r="E601" s="31">
        <v>19464</v>
      </c>
      <c r="F601" s="29"/>
      <c r="G601" s="32">
        <v>45383</v>
      </c>
      <c r="H601" s="29"/>
      <c r="I601" s="5" t="s">
        <v>69</v>
      </c>
      <c r="J601" s="5" t="s">
        <v>77</v>
      </c>
      <c r="K601" s="5" t="s">
        <v>79</v>
      </c>
    </row>
    <row r="602" spans="1:11" ht="18.75" customHeight="1" x14ac:dyDescent="0.3">
      <c r="A602" s="30">
        <v>620</v>
      </c>
      <c r="B602" s="29"/>
      <c r="C602" s="5" t="s">
        <v>14</v>
      </c>
      <c r="D602" s="7">
        <v>194</v>
      </c>
      <c r="E602" s="31">
        <v>19481</v>
      </c>
      <c r="F602" s="29"/>
      <c r="G602" s="32">
        <v>45384</v>
      </c>
      <c r="H602" s="29"/>
      <c r="I602" s="5" t="s">
        <v>69</v>
      </c>
      <c r="J602" s="5" t="s">
        <v>77</v>
      </c>
      <c r="K602" s="5" t="s">
        <v>79</v>
      </c>
    </row>
    <row r="603" spans="1:11" ht="18.75" customHeight="1" x14ac:dyDescent="0.3">
      <c r="A603" s="30">
        <v>621</v>
      </c>
      <c r="B603" s="29"/>
      <c r="C603" s="5" t="s">
        <v>14</v>
      </c>
      <c r="D603" s="7">
        <v>186</v>
      </c>
      <c r="E603" s="31">
        <v>19507</v>
      </c>
      <c r="F603" s="29"/>
      <c r="G603" s="32">
        <v>45385</v>
      </c>
      <c r="H603" s="29"/>
      <c r="I603" s="5" t="s">
        <v>69</v>
      </c>
      <c r="J603" s="5" t="s">
        <v>77</v>
      </c>
      <c r="K603" s="5" t="s">
        <v>79</v>
      </c>
    </row>
    <row r="604" spans="1:11" ht="18.75" customHeight="1" x14ac:dyDescent="0.3">
      <c r="A604" s="30">
        <v>622</v>
      </c>
      <c r="B604" s="29"/>
      <c r="C604" s="5" t="s">
        <v>14</v>
      </c>
      <c r="D604" s="7">
        <v>157</v>
      </c>
      <c r="E604" s="31">
        <v>19494</v>
      </c>
      <c r="F604" s="29"/>
      <c r="G604" s="32">
        <v>45386</v>
      </c>
      <c r="H604" s="29"/>
      <c r="I604" s="5" t="s">
        <v>69</v>
      </c>
      <c r="J604" s="5" t="s">
        <v>77</v>
      </c>
      <c r="K604" s="5" t="s">
        <v>79</v>
      </c>
    </row>
    <row r="605" spans="1:11" ht="18.75" customHeight="1" x14ac:dyDescent="0.3">
      <c r="A605" s="30">
        <v>623</v>
      </c>
      <c r="B605" s="29"/>
      <c r="C605" s="5" t="s">
        <v>14</v>
      </c>
      <c r="D605" s="7">
        <v>154</v>
      </c>
      <c r="E605" s="31">
        <v>19516</v>
      </c>
      <c r="F605" s="29"/>
      <c r="G605" s="32">
        <v>45387</v>
      </c>
      <c r="H605" s="29"/>
      <c r="I605" s="5" t="s">
        <v>69</v>
      </c>
      <c r="J605" s="5" t="s">
        <v>77</v>
      </c>
      <c r="K605" s="5" t="s">
        <v>79</v>
      </c>
    </row>
    <row r="606" spans="1:11" ht="18.75" customHeight="1" x14ac:dyDescent="0.3">
      <c r="A606" s="30">
        <v>624</v>
      </c>
      <c r="B606" s="29"/>
      <c r="C606" s="5" t="s">
        <v>14</v>
      </c>
      <c r="D606" s="7">
        <v>241</v>
      </c>
      <c r="E606" s="31">
        <v>19525</v>
      </c>
      <c r="F606" s="29"/>
      <c r="G606" s="32">
        <v>45388</v>
      </c>
      <c r="H606" s="29"/>
      <c r="I606" s="5" t="s">
        <v>69</v>
      </c>
      <c r="J606" s="5" t="s">
        <v>77</v>
      </c>
      <c r="K606" s="5" t="s">
        <v>79</v>
      </c>
    </row>
    <row r="607" spans="1:11" ht="18.75" customHeight="1" x14ac:dyDescent="0.3">
      <c r="A607" s="30">
        <v>625</v>
      </c>
      <c r="B607" s="29"/>
      <c r="C607" s="5" t="s">
        <v>14</v>
      </c>
      <c r="D607" s="7">
        <v>158</v>
      </c>
      <c r="E607" s="31">
        <v>19536</v>
      </c>
      <c r="F607" s="29"/>
      <c r="G607" s="32">
        <v>45389</v>
      </c>
      <c r="H607" s="29"/>
      <c r="I607" s="5" t="s">
        <v>69</v>
      </c>
      <c r="J607" s="5" t="s">
        <v>77</v>
      </c>
      <c r="K607" s="5" t="s">
        <v>79</v>
      </c>
    </row>
    <row r="608" spans="1:11" ht="18.75" customHeight="1" x14ac:dyDescent="0.3">
      <c r="A608" s="30">
        <v>626</v>
      </c>
      <c r="B608" s="29"/>
      <c r="C608" s="5" t="s">
        <v>14</v>
      </c>
      <c r="D608" s="7">
        <v>170</v>
      </c>
      <c r="E608" s="31">
        <v>19546</v>
      </c>
      <c r="F608" s="29"/>
      <c r="G608" s="32">
        <v>45390</v>
      </c>
      <c r="H608" s="29"/>
      <c r="I608" s="5" t="s">
        <v>69</v>
      </c>
      <c r="J608" s="5" t="s">
        <v>77</v>
      </c>
      <c r="K608" s="5" t="s">
        <v>79</v>
      </c>
    </row>
    <row r="609" spans="1:11" ht="18.75" customHeight="1" x14ac:dyDescent="0.3">
      <c r="A609" s="30">
        <v>627</v>
      </c>
      <c r="B609" s="29"/>
      <c r="C609" s="5" t="s">
        <v>14</v>
      </c>
      <c r="D609" s="7">
        <v>158</v>
      </c>
      <c r="E609" s="31">
        <v>19559</v>
      </c>
      <c r="F609" s="29"/>
      <c r="G609" s="32">
        <v>45391</v>
      </c>
      <c r="H609" s="29"/>
      <c r="I609" s="5" t="s">
        <v>69</v>
      </c>
      <c r="J609" s="5" t="s">
        <v>77</v>
      </c>
      <c r="K609" s="5" t="s">
        <v>79</v>
      </c>
    </row>
    <row r="610" spans="1:11" ht="18.75" customHeight="1" x14ac:dyDescent="0.3">
      <c r="A610" s="30">
        <v>628</v>
      </c>
      <c r="B610" s="29"/>
      <c r="C610" s="5" t="s">
        <v>14</v>
      </c>
      <c r="D610" s="7">
        <v>192</v>
      </c>
      <c r="E610" s="31">
        <v>19566</v>
      </c>
      <c r="F610" s="29"/>
      <c r="G610" s="32">
        <v>45392</v>
      </c>
      <c r="H610" s="29"/>
      <c r="I610" s="5" t="s">
        <v>69</v>
      </c>
      <c r="J610" s="5" t="s">
        <v>77</v>
      </c>
      <c r="K610" s="5" t="s">
        <v>79</v>
      </c>
    </row>
    <row r="611" spans="1:11" ht="18.75" customHeight="1" x14ac:dyDescent="0.3">
      <c r="A611" s="30">
        <v>629</v>
      </c>
      <c r="B611" s="29"/>
      <c r="C611" s="5" t="s">
        <v>14</v>
      </c>
      <c r="D611" s="7">
        <v>169</v>
      </c>
      <c r="E611" s="31">
        <v>19579</v>
      </c>
      <c r="F611" s="29"/>
      <c r="G611" s="32">
        <v>45393</v>
      </c>
      <c r="H611" s="29"/>
      <c r="I611" s="5" t="s">
        <v>69</v>
      </c>
      <c r="J611" s="5" t="s">
        <v>77</v>
      </c>
      <c r="K611" s="5" t="s">
        <v>79</v>
      </c>
    </row>
    <row r="612" spans="1:11" ht="18.75" customHeight="1" x14ac:dyDescent="0.3">
      <c r="A612" s="30">
        <v>630</v>
      </c>
      <c r="B612" s="29"/>
      <c r="C612" s="5" t="s">
        <v>14</v>
      </c>
      <c r="D612" s="7">
        <v>237</v>
      </c>
      <c r="E612" s="31">
        <v>19591</v>
      </c>
      <c r="F612" s="29"/>
      <c r="G612" s="32">
        <v>45394</v>
      </c>
      <c r="H612" s="29"/>
      <c r="I612" s="5" t="s">
        <v>69</v>
      </c>
      <c r="J612" s="5" t="s">
        <v>77</v>
      </c>
      <c r="K612" s="5" t="s">
        <v>79</v>
      </c>
    </row>
    <row r="613" spans="1:11" ht="18.75" customHeight="1" x14ac:dyDescent="0.3">
      <c r="A613" s="30">
        <v>631</v>
      </c>
      <c r="B613" s="29"/>
      <c r="C613" s="5" t="s">
        <v>14</v>
      </c>
      <c r="D613" s="7">
        <v>170</v>
      </c>
      <c r="E613" s="31">
        <v>19597</v>
      </c>
      <c r="F613" s="29"/>
      <c r="G613" s="32">
        <v>45395</v>
      </c>
      <c r="H613" s="29"/>
      <c r="I613" s="5" t="s">
        <v>69</v>
      </c>
      <c r="J613" s="5" t="s">
        <v>77</v>
      </c>
      <c r="K613" s="5" t="s">
        <v>79</v>
      </c>
    </row>
    <row r="614" spans="1:11" ht="18.75" customHeight="1" x14ac:dyDescent="0.3">
      <c r="A614" s="30">
        <v>632</v>
      </c>
      <c r="B614" s="29"/>
      <c r="C614" s="5" t="s">
        <v>14</v>
      </c>
      <c r="D614" s="7">
        <v>171</v>
      </c>
      <c r="E614" s="31">
        <v>19604</v>
      </c>
      <c r="F614" s="29"/>
      <c r="G614" s="32">
        <v>45396</v>
      </c>
      <c r="H614" s="29"/>
      <c r="I614" s="5" t="s">
        <v>69</v>
      </c>
      <c r="J614" s="5" t="s">
        <v>77</v>
      </c>
      <c r="K614" s="5" t="s">
        <v>79</v>
      </c>
    </row>
    <row r="615" spans="1:11" ht="18.75" customHeight="1" x14ac:dyDescent="0.3">
      <c r="A615" s="30">
        <v>633</v>
      </c>
      <c r="B615" s="29"/>
      <c r="C615" s="5" t="s">
        <v>14</v>
      </c>
      <c r="D615" s="7">
        <v>215</v>
      </c>
      <c r="E615" s="31">
        <v>19618</v>
      </c>
      <c r="F615" s="29"/>
      <c r="G615" s="32">
        <v>45397</v>
      </c>
      <c r="H615" s="29"/>
      <c r="I615" s="5" t="s">
        <v>69</v>
      </c>
      <c r="J615" s="5" t="s">
        <v>77</v>
      </c>
      <c r="K615" s="5" t="s">
        <v>79</v>
      </c>
    </row>
    <row r="616" spans="1:11" ht="18.75" customHeight="1" x14ac:dyDescent="0.3">
      <c r="A616" s="30">
        <v>634</v>
      </c>
      <c r="B616" s="29"/>
      <c r="C616" s="5" t="s">
        <v>14</v>
      </c>
      <c r="D616" s="7">
        <v>166</v>
      </c>
      <c r="E616" s="31">
        <v>19629</v>
      </c>
      <c r="F616" s="29"/>
      <c r="G616" s="32">
        <v>45398</v>
      </c>
      <c r="H616" s="29"/>
      <c r="I616" s="5" t="s">
        <v>69</v>
      </c>
      <c r="J616" s="5" t="s">
        <v>77</v>
      </c>
      <c r="K616" s="5" t="s">
        <v>79</v>
      </c>
    </row>
    <row r="617" spans="1:11" ht="18.75" customHeight="1" x14ac:dyDescent="0.3">
      <c r="A617" s="30">
        <v>635</v>
      </c>
      <c r="B617" s="29"/>
      <c r="C617" s="5" t="s">
        <v>14</v>
      </c>
      <c r="D617" s="7">
        <v>190</v>
      </c>
      <c r="E617" s="31">
        <v>19637</v>
      </c>
      <c r="F617" s="29"/>
      <c r="G617" s="32">
        <v>45399</v>
      </c>
      <c r="H617" s="29"/>
      <c r="I617" s="5" t="s">
        <v>69</v>
      </c>
      <c r="J617" s="5" t="s">
        <v>77</v>
      </c>
      <c r="K617" s="5" t="s">
        <v>79</v>
      </c>
    </row>
    <row r="618" spans="1:11" ht="18.75" customHeight="1" x14ac:dyDescent="0.3">
      <c r="A618" s="30">
        <v>636</v>
      </c>
      <c r="B618" s="29"/>
      <c r="C618" s="5" t="s">
        <v>14</v>
      </c>
      <c r="D618" s="7">
        <v>194</v>
      </c>
      <c r="E618" s="31">
        <v>19658</v>
      </c>
      <c r="F618" s="29"/>
      <c r="G618" s="32">
        <v>45400</v>
      </c>
      <c r="H618" s="29"/>
      <c r="I618" s="5" t="s">
        <v>69</v>
      </c>
      <c r="J618" s="5" t="s">
        <v>77</v>
      </c>
      <c r="K618" s="5" t="s">
        <v>79</v>
      </c>
    </row>
    <row r="619" spans="1:11" ht="18.75" customHeight="1" x14ac:dyDescent="0.3">
      <c r="A619" s="30">
        <v>637</v>
      </c>
      <c r="B619" s="29"/>
      <c r="C619" s="5" t="s">
        <v>14</v>
      </c>
      <c r="D619" s="7">
        <v>152</v>
      </c>
      <c r="E619" s="31">
        <v>19650</v>
      </c>
      <c r="F619" s="29"/>
      <c r="G619" s="32">
        <v>45401</v>
      </c>
      <c r="H619" s="29"/>
      <c r="I619" s="5" t="s">
        <v>69</v>
      </c>
      <c r="J619" s="5" t="s">
        <v>77</v>
      </c>
      <c r="K619" s="5" t="s">
        <v>79</v>
      </c>
    </row>
    <row r="620" spans="1:11" ht="18.75" customHeight="1" x14ac:dyDescent="0.3">
      <c r="A620" s="30">
        <v>638</v>
      </c>
      <c r="B620" s="29"/>
      <c r="C620" s="5" t="s">
        <v>14</v>
      </c>
      <c r="D620" s="7">
        <v>187</v>
      </c>
      <c r="E620" s="31">
        <v>19666</v>
      </c>
      <c r="F620" s="29"/>
      <c r="G620" s="32">
        <v>45402</v>
      </c>
      <c r="H620" s="29"/>
      <c r="I620" s="5" t="s">
        <v>69</v>
      </c>
      <c r="J620" s="5" t="s">
        <v>77</v>
      </c>
      <c r="K620" s="5" t="s">
        <v>79</v>
      </c>
    </row>
    <row r="621" spans="1:11" ht="18.75" customHeight="1" x14ac:dyDescent="0.3">
      <c r="A621" s="30">
        <v>639</v>
      </c>
      <c r="B621" s="29"/>
      <c r="C621" s="5" t="s">
        <v>14</v>
      </c>
      <c r="D621" s="7">
        <v>173</v>
      </c>
      <c r="E621" s="31">
        <v>19677</v>
      </c>
      <c r="F621" s="29"/>
      <c r="G621" s="32">
        <v>45403</v>
      </c>
      <c r="H621" s="29"/>
      <c r="I621" s="5" t="s">
        <v>69</v>
      </c>
      <c r="J621" s="5" t="s">
        <v>77</v>
      </c>
      <c r="K621" s="5" t="s">
        <v>79</v>
      </c>
    </row>
    <row r="622" spans="1:11" ht="18.75" customHeight="1" x14ac:dyDescent="0.3">
      <c r="A622" s="30">
        <v>640</v>
      </c>
      <c r="B622" s="29"/>
      <c r="C622" s="5" t="s">
        <v>40</v>
      </c>
      <c r="D622" s="7">
        <v>382</v>
      </c>
      <c r="E622" s="31">
        <v>131535</v>
      </c>
      <c r="F622" s="29"/>
      <c r="G622" s="32">
        <v>45397</v>
      </c>
      <c r="H622" s="29"/>
      <c r="I622" s="5" t="s">
        <v>15</v>
      </c>
      <c r="J622" s="5" t="s">
        <v>30</v>
      </c>
      <c r="K622" s="5"/>
    </row>
    <row r="623" spans="1:11" ht="18.75" customHeight="1" x14ac:dyDescent="0.3">
      <c r="A623" s="30">
        <v>641</v>
      </c>
      <c r="B623" s="29"/>
      <c r="C623" s="5" t="s">
        <v>40</v>
      </c>
      <c r="D623" s="7">
        <v>384</v>
      </c>
      <c r="E623" s="31">
        <v>130279</v>
      </c>
      <c r="F623" s="29"/>
      <c r="G623" s="32">
        <v>45397</v>
      </c>
      <c r="H623" s="29"/>
      <c r="I623" s="5" t="s">
        <v>15</v>
      </c>
      <c r="J623" s="5" t="s">
        <v>30</v>
      </c>
      <c r="K623" s="5"/>
    </row>
    <row r="624" spans="1:11" ht="18.75" customHeight="1" x14ac:dyDescent="0.3">
      <c r="A624" s="30">
        <v>642</v>
      </c>
      <c r="B624" s="29"/>
      <c r="C624" s="5" t="s">
        <v>40</v>
      </c>
      <c r="D624" s="7">
        <v>544</v>
      </c>
      <c r="E624" s="31">
        <v>130217</v>
      </c>
      <c r="F624" s="29"/>
      <c r="G624" s="32">
        <v>45398</v>
      </c>
      <c r="H624" s="29"/>
      <c r="I624" s="5" t="s">
        <v>15</v>
      </c>
      <c r="J624" s="5" t="s">
        <v>30</v>
      </c>
      <c r="K624" s="5"/>
    </row>
    <row r="625" spans="1:11" ht="18.75" customHeight="1" x14ac:dyDescent="0.3">
      <c r="A625" s="30">
        <v>643</v>
      </c>
      <c r="B625" s="29"/>
      <c r="C625" s="5" t="s">
        <v>40</v>
      </c>
      <c r="D625" s="7">
        <v>414</v>
      </c>
      <c r="E625" s="31">
        <v>131812</v>
      </c>
      <c r="F625" s="29"/>
      <c r="G625" s="32">
        <v>45398</v>
      </c>
      <c r="H625" s="29"/>
      <c r="I625" s="5" t="s">
        <v>15</v>
      </c>
      <c r="J625" s="5" t="s">
        <v>30</v>
      </c>
      <c r="K625" s="5"/>
    </row>
    <row r="626" spans="1:11" ht="18.75" customHeight="1" x14ac:dyDescent="0.3">
      <c r="A626" s="30">
        <v>644</v>
      </c>
      <c r="B626" s="29"/>
      <c r="C626" s="5" t="s">
        <v>40</v>
      </c>
      <c r="D626" s="7">
        <v>405</v>
      </c>
      <c r="E626" s="31">
        <v>130289</v>
      </c>
      <c r="F626" s="29"/>
      <c r="G626" s="32">
        <v>45399</v>
      </c>
      <c r="H626" s="29"/>
      <c r="I626" s="5" t="s">
        <v>15</v>
      </c>
      <c r="J626" s="5" t="s">
        <v>30</v>
      </c>
      <c r="K626" s="5"/>
    </row>
    <row r="627" spans="1:11" ht="18.75" customHeight="1" x14ac:dyDescent="0.3">
      <c r="A627" s="30">
        <v>645</v>
      </c>
      <c r="B627" s="29"/>
      <c r="C627" s="5" t="s">
        <v>40</v>
      </c>
      <c r="D627" s="7">
        <v>450</v>
      </c>
      <c r="E627" s="31">
        <v>130227</v>
      </c>
      <c r="F627" s="29"/>
      <c r="G627" s="32">
        <v>45399</v>
      </c>
      <c r="H627" s="29"/>
      <c r="I627" s="5" t="s">
        <v>15</v>
      </c>
      <c r="J627" s="5" t="s">
        <v>30</v>
      </c>
      <c r="K627" s="5"/>
    </row>
    <row r="628" spans="1:11" ht="18.75" customHeight="1" x14ac:dyDescent="0.3">
      <c r="A628" s="30">
        <v>646</v>
      </c>
      <c r="B628" s="29"/>
      <c r="C628" s="5" t="s">
        <v>40</v>
      </c>
      <c r="D628" s="7">
        <v>436</v>
      </c>
      <c r="E628" s="31">
        <v>130231</v>
      </c>
      <c r="F628" s="29"/>
      <c r="G628" s="32">
        <v>45400</v>
      </c>
      <c r="H628" s="29"/>
      <c r="I628" s="5" t="s">
        <v>15</v>
      </c>
      <c r="J628" s="5" t="s">
        <v>30</v>
      </c>
      <c r="K628" s="5"/>
    </row>
    <row r="629" spans="1:11" ht="18.75" customHeight="1" x14ac:dyDescent="0.3">
      <c r="A629" s="30">
        <v>647</v>
      </c>
      <c r="B629" s="29"/>
      <c r="C629" s="5" t="s">
        <v>40</v>
      </c>
      <c r="D629" s="7">
        <v>528</v>
      </c>
      <c r="E629" s="31">
        <v>131557</v>
      </c>
      <c r="F629" s="29"/>
      <c r="G629" s="32">
        <v>45400</v>
      </c>
      <c r="H629" s="29"/>
      <c r="I629" s="5" t="s">
        <v>15</v>
      </c>
      <c r="J629" s="5" t="s">
        <v>30</v>
      </c>
      <c r="K629" s="5"/>
    </row>
    <row r="630" spans="1:11" ht="18.75" customHeight="1" x14ac:dyDescent="0.3">
      <c r="A630" s="30">
        <v>648</v>
      </c>
      <c r="B630" s="29"/>
      <c r="C630" s="5" t="s">
        <v>40</v>
      </c>
      <c r="D630" s="7">
        <v>500</v>
      </c>
      <c r="E630" s="31">
        <v>130235</v>
      </c>
      <c r="F630" s="29"/>
      <c r="G630" s="32">
        <v>45401</v>
      </c>
      <c r="H630" s="29"/>
      <c r="I630" s="5" t="s">
        <v>15</v>
      </c>
      <c r="J630" s="5" t="s">
        <v>30</v>
      </c>
      <c r="K630" s="5"/>
    </row>
    <row r="631" spans="1:11" ht="18.75" customHeight="1" x14ac:dyDescent="0.3">
      <c r="A631" s="30">
        <v>649</v>
      </c>
      <c r="B631" s="29"/>
      <c r="C631" s="5" t="s">
        <v>40</v>
      </c>
      <c r="D631" s="7">
        <v>520</v>
      </c>
      <c r="E631" s="31">
        <v>131829</v>
      </c>
      <c r="F631" s="29"/>
      <c r="G631" s="32">
        <v>45401</v>
      </c>
      <c r="H631" s="29"/>
      <c r="I631" s="5" t="s">
        <v>15</v>
      </c>
      <c r="J631" s="5" t="s">
        <v>30</v>
      </c>
      <c r="K631" s="5"/>
    </row>
    <row r="632" spans="1:11" ht="18.75" customHeight="1" x14ac:dyDescent="0.3">
      <c r="A632" s="30">
        <v>650</v>
      </c>
      <c r="B632" s="29"/>
      <c r="C632" s="5" t="s">
        <v>40</v>
      </c>
      <c r="D632" s="7">
        <v>360</v>
      </c>
      <c r="E632" s="31">
        <v>131564</v>
      </c>
      <c r="F632" s="29"/>
      <c r="G632" s="32">
        <v>45402</v>
      </c>
      <c r="H632" s="29"/>
      <c r="I632" s="5" t="s">
        <v>15</v>
      </c>
      <c r="J632" s="5" t="s">
        <v>30</v>
      </c>
      <c r="K632" s="5"/>
    </row>
    <row r="633" spans="1:11" ht="18.75" customHeight="1" x14ac:dyDescent="0.3">
      <c r="A633" s="30">
        <v>651</v>
      </c>
      <c r="B633" s="29"/>
      <c r="C633" s="5" t="s">
        <v>40</v>
      </c>
      <c r="D633" s="7">
        <v>420</v>
      </c>
      <c r="E633" s="31">
        <v>131568</v>
      </c>
      <c r="F633" s="29"/>
      <c r="G633" s="32">
        <v>45402</v>
      </c>
      <c r="H633" s="29"/>
      <c r="I633" s="5" t="s">
        <v>15</v>
      </c>
      <c r="J633" s="5" t="s">
        <v>30</v>
      </c>
      <c r="K633" s="5"/>
    </row>
    <row r="634" spans="1:11" ht="18.75" customHeight="1" x14ac:dyDescent="0.3">
      <c r="A634" s="30">
        <v>652</v>
      </c>
      <c r="B634" s="29"/>
      <c r="C634" s="5" t="s">
        <v>40</v>
      </c>
      <c r="D634" s="7">
        <v>314</v>
      </c>
      <c r="E634" s="31">
        <v>130285</v>
      </c>
      <c r="F634" s="29"/>
      <c r="G634" s="32">
        <v>45398</v>
      </c>
      <c r="H634" s="29"/>
      <c r="I634" s="5" t="s">
        <v>28</v>
      </c>
      <c r="J634" s="5" t="s">
        <v>80</v>
      </c>
      <c r="K634" s="5"/>
    </row>
    <row r="635" spans="1:11" ht="18.75" customHeight="1" x14ac:dyDescent="0.3">
      <c r="A635" s="30">
        <v>653</v>
      </c>
      <c r="B635" s="29"/>
      <c r="C635" s="5" t="s">
        <v>40</v>
      </c>
      <c r="D635" s="7">
        <v>490</v>
      </c>
      <c r="E635" s="31">
        <v>131540</v>
      </c>
      <c r="F635" s="29"/>
      <c r="G635" s="32">
        <v>45398</v>
      </c>
      <c r="H635" s="29"/>
      <c r="I635" s="5" t="s">
        <v>28</v>
      </c>
      <c r="J635" s="5" t="s">
        <v>80</v>
      </c>
      <c r="K635" s="5"/>
    </row>
    <row r="636" spans="1:11" ht="18.75" customHeight="1" x14ac:dyDescent="0.3">
      <c r="A636" s="30">
        <v>654</v>
      </c>
      <c r="B636" s="29"/>
      <c r="C636" s="5" t="s">
        <v>40</v>
      </c>
      <c r="D636" s="7">
        <v>488</v>
      </c>
      <c r="E636" s="31">
        <v>131820</v>
      </c>
      <c r="F636" s="29"/>
      <c r="G636" s="32">
        <v>45399</v>
      </c>
      <c r="H636" s="29"/>
      <c r="I636" s="5" t="s">
        <v>28</v>
      </c>
      <c r="J636" s="5" t="s">
        <v>80</v>
      </c>
      <c r="K636" s="5"/>
    </row>
    <row r="637" spans="1:11" ht="18.75" customHeight="1" x14ac:dyDescent="0.3">
      <c r="A637" s="30">
        <v>655</v>
      </c>
      <c r="B637" s="29"/>
      <c r="C637" s="5" t="s">
        <v>40</v>
      </c>
      <c r="D637" s="7">
        <v>465</v>
      </c>
      <c r="E637" s="31">
        <v>131816</v>
      </c>
      <c r="F637" s="29"/>
      <c r="G637" s="32">
        <v>45399</v>
      </c>
      <c r="H637" s="29"/>
      <c r="I637" s="5" t="s">
        <v>28</v>
      </c>
      <c r="J637" s="5" t="s">
        <v>80</v>
      </c>
      <c r="K637" s="5"/>
    </row>
    <row r="638" spans="1:11" ht="18.75" customHeight="1" x14ac:dyDescent="0.3">
      <c r="A638" s="30">
        <v>656</v>
      </c>
      <c r="B638" s="29"/>
      <c r="C638" s="5" t="s">
        <v>40</v>
      </c>
      <c r="D638" s="7">
        <v>385</v>
      </c>
      <c r="E638" s="31">
        <v>131823</v>
      </c>
      <c r="F638" s="29"/>
      <c r="G638" s="32">
        <v>45400</v>
      </c>
      <c r="H638" s="29"/>
      <c r="I638" s="5" t="s">
        <v>28</v>
      </c>
      <c r="J638" s="5" t="s">
        <v>80</v>
      </c>
      <c r="K638" s="5"/>
    </row>
    <row r="639" spans="1:11" ht="18.75" customHeight="1" x14ac:dyDescent="0.3">
      <c r="A639" s="30">
        <v>657</v>
      </c>
      <c r="B639" s="29"/>
      <c r="C639" s="5" t="s">
        <v>40</v>
      </c>
      <c r="D639" s="7">
        <v>400</v>
      </c>
      <c r="E639" s="31">
        <v>131559</v>
      </c>
      <c r="F639" s="29"/>
      <c r="G639" s="32">
        <v>45400</v>
      </c>
      <c r="H639" s="29"/>
      <c r="I639" s="5" t="s">
        <v>28</v>
      </c>
      <c r="J639" s="5" t="s">
        <v>80</v>
      </c>
      <c r="K639" s="5"/>
    </row>
    <row r="640" spans="1:11" ht="18.75" customHeight="1" x14ac:dyDescent="0.3">
      <c r="A640" s="30">
        <v>658</v>
      </c>
      <c r="B640" s="29"/>
      <c r="C640" s="5" t="s">
        <v>40</v>
      </c>
      <c r="D640" s="7">
        <v>488</v>
      </c>
      <c r="E640" s="31">
        <v>131828</v>
      </c>
      <c r="F640" s="29"/>
      <c r="G640" s="32">
        <v>45401</v>
      </c>
      <c r="H640" s="29"/>
      <c r="I640" s="5" t="s">
        <v>28</v>
      </c>
      <c r="J640" s="5" t="s">
        <v>80</v>
      </c>
      <c r="K640" s="5"/>
    </row>
    <row r="641" spans="1:11" ht="18.75" customHeight="1" x14ac:dyDescent="0.3">
      <c r="A641" s="30">
        <v>659</v>
      </c>
      <c r="B641" s="29"/>
      <c r="C641" s="5" t="s">
        <v>40</v>
      </c>
      <c r="D641" s="7">
        <v>344</v>
      </c>
      <c r="E641" s="31">
        <v>131835</v>
      </c>
      <c r="F641" s="29"/>
      <c r="G641" s="32">
        <v>45402</v>
      </c>
      <c r="H641" s="29"/>
      <c r="I641" s="5" t="s">
        <v>28</v>
      </c>
      <c r="J641" s="5" t="s">
        <v>80</v>
      </c>
      <c r="K641" s="5"/>
    </row>
    <row r="642" spans="1:11" ht="18.75" customHeight="1" x14ac:dyDescent="0.3">
      <c r="A642" s="30">
        <v>660</v>
      </c>
      <c r="B642" s="29"/>
      <c r="C642" s="5" t="s">
        <v>14</v>
      </c>
      <c r="D642" s="7">
        <v>191</v>
      </c>
      <c r="E642" s="31">
        <v>19682</v>
      </c>
      <c r="F642" s="29"/>
      <c r="G642" s="32">
        <v>45404</v>
      </c>
      <c r="H642" s="29"/>
      <c r="I642" s="5" t="s">
        <v>69</v>
      </c>
      <c r="J642" s="5" t="s">
        <v>79</v>
      </c>
      <c r="K642" s="5" t="s">
        <v>81</v>
      </c>
    </row>
    <row r="643" spans="1:11" ht="18.75" customHeight="1" x14ac:dyDescent="0.3">
      <c r="A643" s="30">
        <v>661</v>
      </c>
      <c r="B643" s="29"/>
      <c r="C643" s="5" t="s">
        <v>14</v>
      </c>
      <c r="D643" s="7">
        <v>229</v>
      </c>
      <c r="E643" s="31">
        <v>19708</v>
      </c>
      <c r="F643" s="29"/>
      <c r="G643" s="32">
        <v>45405</v>
      </c>
      <c r="H643" s="29"/>
      <c r="I643" s="5" t="s">
        <v>69</v>
      </c>
      <c r="J643" s="5" t="s">
        <v>79</v>
      </c>
      <c r="K643" s="5" t="s">
        <v>81</v>
      </c>
    </row>
    <row r="644" spans="1:11" ht="18.75" customHeight="1" x14ac:dyDescent="0.3">
      <c r="A644" s="30">
        <v>662</v>
      </c>
      <c r="B644" s="29"/>
      <c r="C644" s="5" t="s">
        <v>14</v>
      </c>
      <c r="D644" s="7">
        <v>202</v>
      </c>
      <c r="E644" s="31">
        <v>19714</v>
      </c>
      <c r="F644" s="29"/>
      <c r="G644" s="32">
        <v>45406</v>
      </c>
      <c r="H644" s="29"/>
      <c r="I644" s="5" t="s">
        <v>69</v>
      </c>
      <c r="J644" s="5" t="s">
        <v>79</v>
      </c>
      <c r="K644" s="5" t="s">
        <v>81</v>
      </c>
    </row>
    <row r="645" spans="1:11" ht="18.75" customHeight="1" x14ac:dyDescent="0.3">
      <c r="A645" s="30">
        <v>663</v>
      </c>
      <c r="B645" s="29"/>
      <c r="C645" s="5" t="s">
        <v>14</v>
      </c>
      <c r="D645" s="7">
        <v>177</v>
      </c>
      <c r="E645" s="31">
        <v>19722</v>
      </c>
      <c r="F645" s="29"/>
      <c r="G645" s="32">
        <v>45407</v>
      </c>
      <c r="H645" s="29"/>
      <c r="I645" s="5" t="s">
        <v>69</v>
      </c>
      <c r="J645" s="5" t="s">
        <v>79</v>
      </c>
      <c r="K645" s="5" t="s">
        <v>81</v>
      </c>
    </row>
    <row r="646" spans="1:11" ht="18.75" customHeight="1" x14ac:dyDescent="0.3">
      <c r="A646" s="30">
        <v>664</v>
      </c>
      <c r="B646" s="29"/>
      <c r="C646" s="5" t="s">
        <v>14</v>
      </c>
      <c r="D646" s="7">
        <v>182</v>
      </c>
      <c r="E646" s="31">
        <v>19734</v>
      </c>
      <c r="F646" s="29"/>
      <c r="G646" s="32">
        <v>45408</v>
      </c>
      <c r="H646" s="29"/>
      <c r="I646" s="5" t="s">
        <v>69</v>
      </c>
      <c r="J646" s="5" t="s">
        <v>79</v>
      </c>
      <c r="K646" s="5" t="s">
        <v>81</v>
      </c>
    </row>
    <row r="647" spans="1:11" ht="18.75" customHeight="1" x14ac:dyDescent="0.3">
      <c r="A647" s="30">
        <v>665</v>
      </c>
      <c r="B647" s="29"/>
      <c r="C647" s="5" t="s">
        <v>14</v>
      </c>
      <c r="D647" s="7">
        <v>206</v>
      </c>
      <c r="E647" s="31">
        <v>96714</v>
      </c>
      <c r="F647" s="29"/>
      <c r="G647" s="32">
        <v>45409</v>
      </c>
      <c r="H647" s="29"/>
      <c r="I647" s="5" t="s">
        <v>69</v>
      </c>
      <c r="J647" s="5" t="s">
        <v>79</v>
      </c>
      <c r="K647" s="5" t="s">
        <v>81</v>
      </c>
    </row>
    <row r="648" spans="1:11" ht="18.75" customHeight="1" x14ac:dyDescent="0.3">
      <c r="A648" s="30">
        <v>666</v>
      </c>
      <c r="B648" s="29"/>
      <c r="C648" s="5" t="s">
        <v>40</v>
      </c>
      <c r="D648" s="7">
        <v>400</v>
      </c>
      <c r="E648" s="31">
        <v>130247</v>
      </c>
      <c r="F648" s="29"/>
      <c r="G648" s="32">
        <v>45404</v>
      </c>
      <c r="H648" s="29"/>
      <c r="I648" s="5" t="s">
        <v>15</v>
      </c>
      <c r="J648" s="5" t="s">
        <v>30</v>
      </c>
      <c r="K648" s="5"/>
    </row>
    <row r="649" spans="1:11" ht="18.75" customHeight="1" x14ac:dyDescent="0.3">
      <c r="A649" s="30">
        <v>667</v>
      </c>
      <c r="B649" s="29"/>
      <c r="C649" s="5" t="s">
        <v>40</v>
      </c>
      <c r="D649" s="7">
        <v>507</v>
      </c>
      <c r="E649" s="31">
        <v>130056</v>
      </c>
      <c r="F649" s="29"/>
      <c r="G649" s="32">
        <v>45405</v>
      </c>
      <c r="H649" s="29"/>
      <c r="I649" s="5" t="s">
        <v>15</v>
      </c>
      <c r="J649" s="5" t="s">
        <v>30</v>
      </c>
      <c r="K649" s="5"/>
    </row>
    <row r="650" spans="1:11" ht="18.75" customHeight="1" x14ac:dyDescent="0.3">
      <c r="A650" s="30">
        <v>668</v>
      </c>
      <c r="B650" s="29"/>
      <c r="C650" s="5" t="s">
        <v>40</v>
      </c>
      <c r="D650" s="7">
        <v>360</v>
      </c>
      <c r="E650" s="31">
        <v>131843</v>
      </c>
      <c r="F650" s="29"/>
      <c r="G650" s="32">
        <v>45405</v>
      </c>
      <c r="H650" s="29"/>
      <c r="I650" s="5" t="s">
        <v>15</v>
      </c>
      <c r="J650" s="5" t="s">
        <v>30</v>
      </c>
      <c r="K650" s="5"/>
    </row>
    <row r="651" spans="1:11" ht="18.75" customHeight="1" x14ac:dyDescent="0.3">
      <c r="A651" s="30">
        <v>669</v>
      </c>
      <c r="B651" s="29"/>
      <c r="C651" s="5" t="s">
        <v>40</v>
      </c>
      <c r="D651" s="7">
        <v>520</v>
      </c>
      <c r="E651" s="31">
        <v>131845</v>
      </c>
      <c r="F651" s="29"/>
      <c r="G651" s="32">
        <v>45406</v>
      </c>
      <c r="H651" s="29"/>
      <c r="I651" s="5" t="s">
        <v>15</v>
      </c>
      <c r="J651" s="5" t="s">
        <v>30</v>
      </c>
      <c r="K651" s="5"/>
    </row>
    <row r="652" spans="1:11" ht="18.75" customHeight="1" x14ac:dyDescent="0.3">
      <c r="A652" s="30">
        <v>670</v>
      </c>
      <c r="B652" s="29"/>
      <c r="C652" s="5" t="s">
        <v>40</v>
      </c>
      <c r="D652" s="7">
        <v>512</v>
      </c>
      <c r="E652" s="31">
        <v>131851</v>
      </c>
      <c r="F652" s="29"/>
      <c r="G652" s="32">
        <v>45407</v>
      </c>
      <c r="H652" s="29"/>
      <c r="I652" s="5" t="s">
        <v>15</v>
      </c>
      <c r="J652" s="5" t="s">
        <v>30</v>
      </c>
      <c r="K652" s="5"/>
    </row>
    <row r="653" spans="1:11" ht="18.75" customHeight="1" x14ac:dyDescent="0.3">
      <c r="A653" s="30">
        <v>671</v>
      </c>
      <c r="B653" s="29"/>
      <c r="C653" s="5" t="s">
        <v>40</v>
      </c>
      <c r="D653" s="7">
        <v>520</v>
      </c>
      <c r="E653" s="31">
        <v>131855</v>
      </c>
      <c r="F653" s="29"/>
      <c r="G653" s="32">
        <v>45408</v>
      </c>
      <c r="H653" s="29"/>
      <c r="I653" s="5" t="s">
        <v>15</v>
      </c>
      <c r="J653" s="5" t="s">
        <v>30</v>
      </c>
      <c r="K653" s="5"/>
    </row>
    <row r="654" spans="1:11" ht="18.75" customHeight="1" x14ac:dyDescent="0.3">
      <c r="A654" s="30">
        <v>672</v>
      </c>
      <c r="B654" s="29"/>
      <c r="C654" s="5" t="s">
        <v>40</v>
      </c>
      <c r="D654" s="7">
        <v>400</v>
      </c>
      <c r="E654" s="31">
        <v>131579</v>
      </c>
      <c r="F654" s="29"/>
      <c r="G654" s="32">
        <v>45409</v>
      </c>
      <c r="H654" s="29"/>
      <c r="I654" s="5" t="s">
        <v>15</v>
      </c>
      <c r="J654" s="5" t="s">
        <v>30</v>
      </c>
      <c r="K654" s="5"/>
    </row>
    <row r="655" spans="1:11" ht="18.75" customHeight="1" x14ac:dyDescent="0.3">
      <c r="A655" s="30">
        <v>673</v>
      </c>
      <c r="B655" s="29"/>
      <c r="C655" s="5" t="s">
        <v>40</v>
      </c>
      <c r="D655" s="7">
        <v>400</v>
      </c>
      <c r="E655" s="31">
        <v>130051</v>
      </c>
      <c r="F655" s="29"/>
      <c r="G655" s="32">
        <v>45404</v>
      </c>
      <c r="H655" s="29"/>
      <c r="I655" s="5" t="s">
        <v>28</v>
      </c>
      <c r="J655" s="5" t="s">
        <v>80</v>
      </c>
      <c r="K655" s="5"/>
    </row>
    <row r="656" spans="1:11" ht="18.75" customHeight="1" x14ac:dyDescent="0.3">
      <c r="A656" s="30">
        <v>674</v>
      </c>
      <c r="B656" s="29"/>
      <c r="C656" s="5" t="s">
        <v>40</v>
      </c>
      <c r="D656" s="7">
        <v>528</v>
      </c>
      <c r="E656" s="31">
        <v>131838</v>
      </c>
      <c r="F656" s="29"/>
      <c r="G656" s="32">
        <v>45404</v>
      </c>
      <c r="H656" s="29"/>
      <c r="I656" s="5" t="s">
        <v>28</v>
      </c>
      <c r="J656" s="5" t="s">
        <v>80</v>
      </c>
      <c r="K656" s="5"/>
    </row>
    <row r="657" spans="1:11" ht="18.75" customHeight="1" x14ac:dyDescent="0.3">
      <c r="A657" s="30">
        <v>675</v>
      </c>
      <c r="B657" s="29"/>
      <c r="C657" s="5" t="s">
        <v>40</v>
      </c>
      <c r="D657" s="7">
        <v>361</v>
      </c>
      <c r="E657" s="31">
        <v>130650</v>
      </c>
      <c r="F657" s="29"/>
      <c r="G657" s="32">
        <v>45405</v>
      </c>
      <c r="H657" s="29"/>
      <c r="I657" s="5" t="s">
        <v>28</v>
      </c>
      <c r="J657" s="5" t="s">
        <v>80</v>
      </c>
      <c r="K657" s="5"/>
    </row>
    <row r="658" spans="1:11" ht="18.75" customHeight="1" x14ac:dyDescent="0.3">
      <c r="A658" s="30">
        <v>676</v>
      </c>
      <c r="B658" s="29"/>
      <c r="C658" s="5" t="s">
        <v>40</v>
      </c>
      <c r="D658" s="7">
        <v>520</v>
      </c>
      <c r="E658" s="31">
        <v>131847</v>
      </c>
      <c r="F658" s="29"/>
      <c r="G658" s="32">
        <v>45406</v>
      </c>
      <c r="H658" s="29"/>
      <c r="I658" s="5" t="s">
        <v>28</v>
      </c>
      <c r="J658" s="5" t="s">
        <v>80</v>
      </c>
      <c r="K658" s="5"/>
    </row>
    <row r="659" spans="1:11" ht="18.75" customHeight="1" x14ac:dyDescent="0.3">
      <c r="A659" s="30">
        <v>677</v>
      </c>
      <c r="B659" s="29"/>
      <c r="C659" s="5" t="s">
        <v>40</v>
      </c>
      <c r="D659" s="7">
        <v>332</v>
      </c>
      <c r="E659" s="31">
        <v>130170</v>
      </c>
      <c r="F659" s="29"/>
      <c r="G659" s="32">
        <v>45407</v>
      </c>
      <c r="H659" s="29"/>
      <c r="I659" s="5" t="s">
        <v>28</v>
      </c>
      <c r="J659" s="5" t="s">
        <v>80</v>
      </c>
      <c r="K659" s="5"/>
    </row>
    <row r="660" spans="1:11" ht="18.75" customHeight="1" x14ac:dyDescent="0.3">
      <c r="A660" s="30">
        <v>678</v>
      </c>
      <c r="B660" s="29"/>
      <c r="C660" s="5" t="s">
        <v>40</v>
      </c>
      <c r="D660" s="7">
        <v>383</v>
      </c>
      <c r="E660" s="31">
        <v>131570</v>
      </c>
      <c r="F660" s="29"/>
      <c r="G660" s="32">
        <v>45407</v>
      </c>
      <c r="H660" s="29"/>
      <c r="I660" s="5" t="s">
        <v>28</v>
      </c>
      <c r="J660" s="5" t="s">
        <v>80</v>
      </c>
      <c r="K660" s="5"/>
    </row>
    <row r="661" spans="1:11" ht="18.75" customHeight="1" x14ac:dyDescent="0.3">
      <c r="A661" s="30">
        <v>679</v>
      </c>
      <c r="B661" s="29"/>
      <c r="C661" s="5" t="s">
        <v>40</v>
      </c>
      <c r="D661" s="7">
        <v>490</v>
      </c>
      <c r="E661" s="31">
        <v>131575</v>
      </c>
      <c r="F661" s="29"/>
      <c r="G661" s="32">
        <v>45408</v>
      </c>
      <c r="H661" s="29"/>
      <c r="I661" s="5" t="s">
        <v>28</v>
      </c>
      <c r="J661" s="5" t="s">
        <v>80</v>
      </c>
      <c r="K661" s="5"/>
    </row>
    <row r="662" spans="1:11" ht="18.75" customHeight="1" x14ac:dyDescent="0.3">
      <c r="A662" s="30">
        <v>680</v>
      </c>
      <c r="B662" s="29"/>
      <c r="C662" s="5" t="s">
        <v>40</v>
      </c>
      <c r="D662" s="7">
        <v>383</v>
      </c>
      <c r="E662" s="31">
        <v>131578</v>
      </c>
      <c r="F662" s="29"/>
      <c r="G662" s="32">
        <v>45409</v>
      </c>
      <c r="H662" s="29"/>
      <c r="I662" s="5" t="s">
        <v>28</v>
      </c>
      <c r="J662" s="5" t="s">
        <v>80</v>
      </c>
      <c r="K662" s="5"/>
    </row>
    <row r="663" spans="1:11" ht="18.75" customHeight="1" x14ac:dyDescent="0.3">
      <c r="A663" s="30">
        <v>681</v>
      </c>
      <c r="B663" s="29"/>
      <c r="C663" s="5" t="s">
        <v>40</v>
      </c>
      <c r="D663" s="7">
        <v>505</v>
      </c>
      <c r="E663" s="31">
        <v>131860</v>
      </c>
      <c r="F663" s="29"/>
      <c r="G663" s="32">
        <v>45410</v>
      </c>
      <c r="H663" s="29"/>
      <c r="I663" s="5" t="s">
        <v>15</v>
      </c>
      <c r="J663" s="5" t="s">
        <v>30</v>
      </c>
      <c r="K663" s="5"/>
    </row>
    <row r="664" spans="1:11" ht="18.75" customHeight="1" x14ac:dyDescent="0.3">
      <c r="A664" s="30">
        <v>682</v>
      </c>
      <c r="B664" s="29"/>
      <c r="C664" s="5" t="s">
        <v>40</v>
      </c>
      <c r="D664" s="7">
        <v>500</v>
      </c>
      <c r="E664" s="31">
        <v>131607</v>
      </c>
      <c r="F664" s="29"/>
      <c r="G664" s="32">
        <v>45411</v>
      </c>
      <c r="H664" s="29"/>
      <c r="I664" s="5" t="s">
        <v>15</v>
      </c>
      <c r="J664" s="5" t="s">
        <v>30</v>
      </c>
      <c r="K664" s="5"/>
    </row>
    <row r="665" spans="1:11" ht="18.75" customHeight="1" x14ac:dyDescent="0.3">
      <c r="A665" s="30">
        <v>683</v>
      </c>
      <c r="B665" s="29"/>
      <c r="C665" s="5" t="s">
        <v>40</v>
      </c>
      <c r="D665" s="7">
        <v>400</v>
      </c>
      <c r="E665" s="31">
        <v>131609</v>
      </c>
      <c r="F665" s="29"/>
      <c r="G665" s="32">
        <v>45412</v>
      </c>
      <c r="H665" s="29"/>
      <c r="I665" s="5" t="s">
        <v>15</v>
      </c>
      <c r="J665" s="5" t="s">
        <v>30</v>
      </c>
      <c r="K665" s="5"/>
    </row>
    <row r="666" spans="1:11" ht="18.75" customHeight="1" x14ac:dyDescent="0.3">
      <c r="A666" s="30">
        <v>684</v>
      </c>
      <c r="B666" s="29"/>
      <c r="C666" s="5" t="s">
        <v>40</v>
      </c>
      <c r="D666" s="7">
        <v>484</v>
      </c>
      <c r="E666" s="31">
        <v>131592</v>
      </c>
      <c r="F666" s="29"/>
      <c r="G666" s="32">
        <v>45414</v>
      </c>
      <c r="H666" s="29"/>
      <c r="I666" s="5" t="s">
        <v>15</v>
      </c>
      <c r="J666" s="5" t="s">
        <v>30</v>
      </c>
      <c r="K666" s="5"/>
    </row>
    <row r="667" spans="1:11" ht="18.75" customHeight="1" x14ac:dyDescent="0.3">
      <c r="A667" s="30">
        <v>685</v>
      </c>
      <c r="B667" s="29"/>
      <c r="C667" s="5" t="s">
        <v>40</v>
      </c>
      <c r="D667" s="7">
        <v>519</v>
      </c>
      <c r="E667" s="31">
        <v>131868</v>
      </c>
      <c r="F667" s="29"/>
      <c r="G667" s="32">
        <v>45414</v>
      </c>
      <c r="H667" s="29"/>
      <c r="I667" s="5" t="s">
        <v>15</v>
      </c>
      <c r="J667" s="5" t="s">
        <v>30</v>
      </c>
      <c r="K667" s="5"/>
    </row>
    <row r="668" spans="1:11" ht="18.75" customHeight="1" x14ac:dyDescent="0.3">
      <c r="A668" s="30">
        <v>686</v>
      </c>
      <c r="B668" s="29"/>
      <c r="C668" s="5" t="s">
        <v>40</v>
      </c>
      <c r="D668" s="7">
        <v>278</v>
      </c>
      <c r="E668" s="31">
        <v>131618</v>
      </c>
      <c r="F668" s="29"/>
      <c r="G668" s="32">
        <v>45415</v>
      </c>
      <c r="H668" s="29"/>
      <c r="I668" s="5" t="s">
        <v>15</v>
      </c>
      <c r="J668" s="5" t="s">
        <v>30</v>
      </c>
      <c r="K668" s="5"/>
    </row>
    <row r="669" spans="1:11" ht="18.75" customHeight="1" x14ac:dyDescent="0.3">
      <c r="A669" s="30">
        <v>687</v>
      </c>
      <c r="B669" s="29"/>
      <c r="C669" s="5" t="s">
        <v>40</v>
      </c>
      <c r="D669" s="7">
        <v>400</v>
      </c>
      <c r="E669" s="31">
        <v>131401</v>
      </c>
      <c r="F669" s="29"/>
      <c r="G669" s="32">
        <v>45416</v>
      </c>
      <c r="H669" s="29"/>
      <c r="I669" s="5" t="s">
        <v>15</v>
      </c>
      <c r="J669" s="5" t="s">
        <v>30</v>
      </c>
      <c r="K669" s="5"/>
    </row>
    <row r="670" spans="1:11" ht="18.75" customHeight="1" x14ac:dyDescent="0.3">
      <c r="A670" s="30">
        <v>688</v>
      </c>
      <c r="B670" s="29"/>
      <c r="C670" s="5" t="s">
        <v>14</v>
      </c>
      <c r="D670" s="7">
        <v>80</v>
      </c>
      <c r="E670" s="31">
        <v>96793</v>
      </c>
      <c r="F670" s="29"/>
      <c r="G670" s="32">
        <v>45412</v>
      </c>
      <c r="H670" s="29"/>
      <c r="I670" s="5" t="s">
        <v>69</v>
      </c>
      <c r="J670" s="5" t="s">
        <v>79</v>
      </c>
      <c r="K670" s="5" t="s">
        <v>81</v>
      </c>
    </row>
    <row r="671" spans="1:11" ht="18.75" customHeight="1" x14ac:dyDescent="0.3">
      <c r="A671" s="30">
        <v>689</v>
      </c>
      <c r="B671" s="29"/>
      <c r="C671" s="5" t="s">
        <v>40</v>
      </c>
      <c r="D671" s="7">
        <v>387</v>
      </c>
      <c r="E671" s="31">
        <v>131608</v>
      </c>
      <c r="F671" s="29"/>
      <c r="G671" s="32">
        <v>45412</v>
      </c>
      <c r="H671" s="29"/>
      <c r="I671" s="5" t="s">
        <v>28</v>
      </c>
      <c r="J671" s="5" t="s">
        <v>80</v>
      </c>
      <c r="K671" s="5"/>
    </row>
    <row r="672" spans="1:11" ht="18.75" customHeight="1" x14ac:dyDescent="0.3">
      <c r="A672" s="30">
        <v>690</v>
      </c>
      <c r="B672" s="29"/>
      <c r="C672" s="5" t="s">
        <v>40</v>
      </c>
      <c r="D672" s="7">
        <v>405</v>
      </c>
      <c r="E672" s="31">
        <v>131866</v>
      </c>
      <c r="F672" s="29"/>
      <c r="G672" s="32">
        <v>45412</v>
      </c>
      <c r="H672" s="29"/>
      <c r="I672" s="5" t="s">
        <v>28</v>
      </c>
      <c r="J672" s="5" t="s">
        <v>80</v>
      </c>
      <c r="K672" s="5"/>
    </row>
    <row r="673" spans="1:11" ht="18.75" customHeight="1" x14ac:dyDescent="0.3">
      <c r="A673" s="30">
        <v>691</v>
      </c>
      <c r="B673" s="29"/>
      <c r="C673" s="5" t="s">
        <v>40</v>
      </c>
      <c r="D673" s="7">
        <v>424</v>
      </c>
      <c r="E673" s="31">
        <v>131615</v>
      </c>
      <c r="F673" s="29"/>
      <c r="G673" s="32">
        <v>45414</v>
      </c>
      <c r="H673" s="29"/>
      <c r="I673" s="5" t="s">
        <v>28</v>
      </c>
      <c r="J673" s="5" t="s">
        <v>80</v>
      </c>
      <c r="K673" s="5"/>
    </row>
    <row r="674" spans="1:11" ht="18.75" customHeight="1" x14ac:dyDescent="0.3">
      <c r="A674" s="30">
        <v>692</v>
      </c>
      <c r="B674" s="29"/>
      <c r="C674" s="5" t="s">
        <v>40</v>
      </c>
      <c r="D674" s="7">
        <v>410</v>
      </c>
      <c r="E674" s="31">
        <v>131872</v>
      </c>
      <c r="F674" s="29"/>
      <c r="G674" s="32">
        <v>45415</v>
      </c>
      <c r="H674" s="29"/>
      <c r="I674" s="5" t="s">
        <v>28</v>
      </c>
      <c r="J674" s="5" t="s">
        <v>80</v>
      </c>
      <c r="K674" s="5"/>
    </row>
    <row r="675" spans="1:11" ht="18.75" customHeight="1" x14ac:dyDescent="0.3">
      <c r="A675" s="30">
        <v>693</v>
      </c>
      <c r="B675" s="29"/>
      <c r="C675" s="5" t="s">
        <v>40</v>
      </c>
      <c r="D675" s="7">
        <v>522</v>
      </c>
      <c r="E675" s="31">
        <v>131626</v>
      </c>
      <c r="F675" s="29"/>
      <c r="G675" s="32">
        <v>45416</v>
      </c>
      <c r="H675" s="29"/>
      <c r="I675" s="5" t="s">
        <v>28</v>
      </c>
      <c r="J675" s="5" t="s">
        <v>80</v>
      </c>
      <c r="K675" s="5"/>
    </row>
    <row r="676" spans="1:11" ht="18.75" customHeight="1" x14ac:dyDescent="0.3">
      <c r="A676" s="30">
        <v>694</v>
      </c>
      <c r="B676" s="29"/>
      <c r="C676" s="5" t="s">
        <v>14</v>
      </c>
      <c r="D676" s="7">
        <v>189</v>
      </c>
      <c r="E676" s="31">
        <v>19751</v>
      </c>
      <c r="F676" s="29"/>
      <c r="G676" s="32">
        <v>45411</v>
      </c>
      <c r="H676" s="29"/>
      <c r="I676" s="5" t="s">
        <v>69</v>
      </c>
      <c r="J676" s="5" t="s">
        <v>79</v>
      </c>
      <c r="K676" s="5" t="s">
        <v>81</v>
      </c>
    </row>
    <row r="677" spans="1:11" ht="18.75" customHeight="1" x14ac:dyDescent="0.3">
      <c r="A677" s="30">
        <v>695</v>
      </c>
      <c r="B677" s="29"/>
      <c r="C677" s="5" t="s">
        <v>14</v>
      </c>
      <c r="D677" s="7">
        <v>196</v>
      </c>
      <c r="E677" s="31">
        <v>19762</v>
      </c>
      <c r="F677" s="29"/>
      <c r="G677" s="32">
        <v>45412</v>
      </c>
      <c r="H677" s="29"/>
      <c r="I677" s="5" t="s">
        <v>69</v>
      </c>
      <c r="J677" s="5" t="s">
        <v>79</v>
      </c>
      <c r="K677" s="5" t="s">
        <v>81</v>
      </c>
    </row>
    <row r="678" spans="1:11" ht="18.75" customHeight="1" x14ac:dyDescent="0.3">
      <c r="A678" s="30">
        <v>696</v>
      </c>
      <c r="B678" s="29"/>
      <c r="C678" s="5" t="s">
        <v>14</v>
      </c>
      <c r="D678" s="7">
        <v>219</v>
      </c>
      <c r="E678" s="31">
        <v>19779</v>
      </c>
      <c r="F678" s="29"/>
      <c r="G678" s="32">
        <v>45413</v>
      </c>
      <c r="H678" s="29"/>
      <c r="I678" s="5" t="s">
        <v>69</v>
      </c>
      <c r="J678" s="5" t="s">
        <v>79</v>
      </c>
      <c r="K678" s="5" t="s">
        <v>81</v>
      </c>
    </row>
    <row r="679" spans="1:11" ht="18.75" customHeight="1" x14ac:dyDescent="0.3">
      <c r="A679" s="30">
        <v>697</v>
      </c>
      <c r="B679" s="29"/>
      <c r="C679" s="5" t="s">
        <v>14</v>
      </c>
      <c r="D679" s="7">
        <v>165</v>
      </c>
      <c r="E679" s="31">
        <v>19789</v>
      </c>
      <c r="F679" s="29"/>
      <c r="G679" s="32">
        <v>45414</v>
      </c>
      <c r="H679" s="29"/>
      <c r="I679" s="5" t="s">
        <v>69</v>
      </c>
      <c r="J679" s="5" t="s">
        <v>79</v>
      </c>
      <c r="K679" s="5" t="s">
        <v>81</v>
      </c>
    </row>
    <row r="680" spans="1:11" ht="18.75" customHeight="1" x14ac:dyDescent="0.3">
      <c r="A680" s="30">
        <v>698</v>
      </c>
      <c r="B680" s="29"/>
      <c r="C680" s="5" t="s">
        <v>14</v>
      </c>
      <c r="D680" s="7">
        <v>169</v>
      </c>
      <c r="E680" s="31">
        <v>19801</v>
      </c>
      <c r="F680" s="29"/>
      <c r="G680" s="32">
        <v>45415</v>
      </c>
      <c r="H680" s="29"/>
      <c r="I680" s="5" t="s">
        <v>69</v>
      </c>
      <c r="J680" s="5" t="s">
        <v>79</v>
      </c>
      <c r="K680" s="5" t="s">
        <v>81</v>
      </c>
    </row>
    <row r="681" spans="1:11" ht="18.75" customHeight="1" x14ac:dyDescent="0.3">
      <c r="A681" s="30">
        <v>699</v>
      </c>
      <c r="B681" s="29"/>
      <c r="C681" s="5" t="s">
        <v>14</v>
      </c>
      <c r="D681" s="7">
        <v>154</v>
      </c>
      <c r="E681" s="31">
        <v>19809</v>
      </c>
      <c r="F681" s="29"/>
      <c r="G681" s="32">
        <v>45416</v>
      </c>
      <c r="H681" s="29"/>
      <c r="I681" s="5" t="s">
        <v>69</v>
      </c>
      <c r="J681" s="5" t="s">
        <v>79</v>
      </c>
      <c r="K681" s="5" t="s">
        <v>81</v>
      </c>
    </row>
    <row r="682" spans="1:11" ht="18.75" customHeight="1" x14ac:dyDescent="0.3">
      <c r="A682" s="30">
        <v>700</v>
      </c>
      <c r="B682" s="29"/>
      <c r="C682" s="5" t="s">
        <v>40</v>
      </c>
      <c r="D682" s="7">
        <v>423</v>
      </c>
      <c r="E682" s="31">
        <v>131901</v>
      </c>
      <c r="F682" s="29"/>
      <c r="G682" s="32">
        <v>45418</v>
      </c>
      <c r="H682" s="29"/>
      <c r="I682" s="5" t="s">
        <v>15</v>
      </c>
      <c r="J682" s="5" t="s">
        <v>30</v>
      </c>
      <c r="K682" s="5"/>
    </row>
    <row r="683" spans="1:11" ht="18.75" customHeight="1" x14ac:dyDescent="0.3">
      <c r="A683" s="30">
        <v>701</v>
      </c>
      <c r="B683" s="29"/>
      <c r="C683" s="5" t="s">
        <v>40</v>
      </c>
      <c r="D683" s="7">
        <v>400</v>
      </c>
      <c r="E683" s="31">
        <v>131599</v>
      </c>
      <c r="F683" s="29"/>
      <c r="G683" s="32">
        <v>45419</v>
      </c>
      <c r="H683" s="29"/>
      <c r="I683" s="5" t="s">
        <v>15</v>
      </c>
      <c r="J683" s="5" t="s">
        <v>30</v>
      </c>
      <c r="K683" s="5"/>
    </row>
    <row r="684" spans="1:11" ht="18.75" customHeight="1" x14ac:dyDescent="0.3">
      <c r="A684" s="30">
        <v>702</v>
      </c>
      <c r="B684" s="29"/>
      <c r="C684" s="5" t="s">
        <v>40</v>
      </c>
      <c r="D684" s="7">
        <v>400</v>
      </c>
      <c r="E684" s="31">
        <v>131638</v>
      </c>
      <c r="F684" s="29"/>
      <c r="G684" s="32">
        <v>45420</v>
      </c>
      <c r="H684" s="29"/>
      <c r="I684" s="5" t="s">
        <v>15</v>
      </c>
      <c r="J684" s="5" t="s">
        <v>30</v>
      </c>
      <c r="K684" s="5"/>
    </row>
    <row r="685" spans="1:11" ht="18.75" customHeight="1" x14ac:dyDescent="0.3">
      <c r="A685" s="30">
        <v>703</v>
      </c>
      <c r="B685" s="29"/>
      <c r="C685" s="5" t="s">
        <v>40</v>
      </c>
      <c r="D685" s="7">
        <v>442</v>
      </c>
      <c r="E685" s="31">
        <v>131646</v>
      </c>
      <c r="F685" s="29"/>
      <c r="G685" s="32">
        <v>45421</v>
      </c>
      <c r="H685" s="29"/>
      <c r="I685" s="5" t="s">
        <v>15</v>
      </c>
      <c r="J685" s="5" t="s">
        <v>30</v>
      </c>
      <c r="K685" s="5"/>
    </row>
    <row r="686" spans="1:11" ht="18.75" customHeight="1" x14ac:dyDescent="0.3">
      <c r="A686" s="30">
        <v>704</v>
      </c>
      <c r="B686" s="29"/>
      <c r="C686" s="5" t="s">
        <v>40</v>
      </c>
      <c r="D686" s="7">
        <v>400</v>
      </c>
      <c r="E686" s="31">
        <v>131544</v>
      </c>
      <c r="F686" s="29"/>
      <c r="G686" s="32">
        <v>45422</v>
      </c>
      <c r="H686" s="29"/>
      <c r="I686" s="5" t="s">
        <v>15</v>
      </c>
      <c r="J686" s="5" t="s">
        <v>30</v>
      </c>
      <c r="K686" s="5"/>
    </row>
    <row r="687" spans="1:11" ht="18.75" customHeight="1" x14ac:dyDescent="0.3">
      <c r="A687" s="30">
        <v>705</v>
      </c>
      <c r="B687" s="29"/>
      <c r="C687" s="5" t="s">
        <v>40</v>
      </c>
      <c r="D687" s="7">
        <v>302</v>
      </c>
      <c r="E687" s="31">
        <v>133258</v>
      </c>
      <c r="F687" s="29"/>
      <c r="G687" s="32">
        <v>45422</v>
      </c>
      <c r="H687" s="29"/>
      <c r="I687" s="5" t="s">
        <v>15</v>
      </c>
      <c r="J687" s="5" t="s">
        <v>30</v>
      </c>
      <c r="K687" s="5"/>
    </row>
    <row r="688" spans="1:11" ht="18.75" customHeight="1" x14ac:dyDescent="0.3">
      <c r="A688" s="30">
        <v>706</v>
      </c>
      <c r="B688" s="29"/>
      <c r="C688" s="5" t="s">
        <v>40</v>
      </c>
      <c r="D688" s="7">
        <v>400</v>
      </c>
      <c r="E688" s="31">
        <v>131549</v>
      </c>
      <c r="F688" s="29"/>
      <c r="G688" s="32">
        <v>45423</v>
      </c>
      <c r="H688" s="29"/>
      <c r="I688" s="5" t="s">
        <v>15</v>
      </c>
      <c r="J688" s="5" t="s">
        <v>30</v>
      </c>
      <c r="K688" s="5"/>
    </row>
    <row r="689" spans="1:11" ht="18.75" customHeight="1" x14ac:dyDescent="0.3">
      <c r="A689" s="30">
        <v>707</v>
      </c>
      <c r="B689" s="29"/>
      <c r="C689" s="5" t="s">
        <v>40</v>
      </c>
      <c r="D689" s="7">
        <v>360</v>
      </c>
      <c r="E689" s="31">
        <v>133263</v>
      </c>
      <c r="F689" s="29"/>
      <c r="G689" s="32">
        <v>45423</v>
      </c>
      <c r="H689" s="29"/>
      <c r="I689" s="5" t="s">
        <v>15</v>
      </c>
      <c r="J689" s="5" t="s">
        <v>30</v>
      </c>
      <c r="K689" s="5"/>
    </row>
    <row r="690" spans="1:11" ht="18.75" customHeight="1" x14ac:dyDescent="0.3">
      <c r="A690" s="30">
        <v>708</v>
      </c>
      <c r="B690" s="29"/>
      <c r="C690" s="5" t="s">
        <v>40</v>
      </c>
      <c r="D690" s="7">
        <v>405</v>
      </c>
      <c r="E690" s="31">
        <v>131903</v>
      </c>
      <c r="F690" s="29"/>
      <c r="G690" s="32">
        <v>45418</v>
      </c>
      <c r="H690" s="29"/>
      <c r="I690" s="5" t="s">
        <v>28</v>
      </c>
      <c r="J690" s="5" t="s">
        <v>80</v>
      </c>
      <c r="K690" s="5"/>
    </row>
    <row r="691" spans="1:11" ht="18.75" customHeight="1" x14ac:dyDescent="0.3">
      <c r="A691" s="30">
        <v>709</v>
      </c>
      <c r="B691" s="29"/>
      <c r="C691" s="5" t="s">
        <v>40</v>
      </c>
      <c r="D691" s="7">
        <v>520</v>
      </c>
      <c r="E691" s="31">
        <v>131880</v>
      </c>
      <c r="F691" s="29"/>
      <c r="G691" s="32">
        <v>45419</v>
      </c>
      <c r="H691" s="29"/>
      <c r="I691" s="5" t="s">
        <v>28</v>
      </c>
      <c r="J691" s="5" t="s">
        <v>80</v>
      </c>
      <c r="K691" s="5"/>
    </row>
    <row r="692" spans="1:11" ht="18.75" customHeight="1" x14ac:dyDescent="0.3">
      <c r="A692" s="30">
        <v>710</v>
      </c>
      <c r="B692" s="29"/>
      <c r="C692" s="5" t="s">
        <v>40</v>
      </c>
      <c r="D692" s="7">
        <v>486</v>
      </c>
      <c r="E692" s="31">
        <v>131952</v>
      </c>
      <c r="F692" s="29"/>
      <c r="G692" s="32">
        <v>45420</v>
      </c>
      <c r="H692" s="29"/>
      <c r="I692" s="5" t="s">
        <v>28</v>
      </c>
      <c r="J692" s="5" t="s">
        <v>80</v>
      </c>
      <c r="K692" s="5"/>
    </row>
    <row r="693" spans="1:11" ht="18.75" customHeight="1" x14ac:dyDescent="0.3">
      <c r="A693" s="30">
        <v>711</v>
      </c>
      <c r="B693" s="29"/>
      <c r="C693" s="5" t="s">
        <v>40</v>
      </c>
      <c r="D693" s="7">
        <v>397</v>
      </c>
      <c r="E693" s="31">
        <v>131644</v>
      </c>
      <c r="F693" s="29"/>
      <c r="G693" s="32">
        <v>45420</v>
      </c>
      <c r="H693" s="29"/>
      <c r="I693" s="5" t="s">
        <v>28</v>
      </c>
      <c r="J693" s="5" t="s">
        <v>80</v>
      </c>
      <c r="K693" s="5"/>
    </row>
    <row r="694" spans="1:11" ht="18.75" customHeight="1" x14ac:dyDescent="0.3">
      <c r="A694" s="30">
        <v>712</v>
      </c>
      <c r="B694" s="29"/>
      <c r="C694" s="5" t="s">
        <v>40</v>
      </c>
      <c r="D694" s="7">
        <v>517</v>
      </c>
      <c r="E694" s="31">
        <v>131882</v>
      </c>
      <c r="F694" s="29"/>
      <c r="G694" s="32">
        <v>45421</v>
      </c>
      <c r="H694" s="29"/>
      <c r="I694" s="5" t="s">
        <v>28</v>
      </c>
      <c r="J694" s="5" t="s">
        <v>80</v>
      </c>
      <c r="K694" s="5"/>
    </row>
    <row r="695" spans="1:11" ht="18.75" customHeight="1" x14ac:dyDescent="0.3">
      <c r="A695" s="30">
        <v>713</v>
      </c>
      <c r="B695" s="29"/>
      <c r="C695" s="5" t="s">
        <v>40</v>
      </c>
      <c r="D695" s="7">
        <v>388</v>
      </c>
      <c r="E695" s="31">
        <v>131884</v>
      </c>
      <c r="F695" s="29"/>
      <c r="G695" s="32">
        <v>45422</v>
      </c>
      <c r="H695" s="29"/>
      <c r="I695" s="5" t="s">
        <v>28</v>
      </c>
      <c r="J695" s="5" t="s">
        <v>80</v>
      </c>
      <c r="K695" s="5"/>
    </row>
    <row r="696" spans="1:11" ht="18.75" customHeight="1" x14ac:dyDescent="0.3">
      <c r="A696" s="30">
        <v>714</v>
      </c>
      <c r="B696" s="29"/>
      <c r="C696" s="5" t="s">
        <v>40</v>
      </c>
      <c r="D696" s="7">
        <v>383</v>
      </c>
      <c r="E696" s="31">
        <v>131547</v>
      </c>
      <c r="F696" s="29"/>
      <c r="G696" s="32">
        <v>45422</v>
      </c>
      <c r="H696" s="29"/>
      <c r="I696" s="5" t="s">
        <v>28</v>
      </c>
      <c r="J696" s="5" t="s">
        <v>80</v>
      </c>
      <c r="K696" s="5"/>
    </row>
    <row r="697" spans="1:11" ht="18.75" customHeight="1" x14ac:dyDescent="0.3">
      <c r="A697" s="30">
        <v>715</v>
      </c>
      <c r="B697" s="29"/>
      <c r="C697" s="5" t="s">
        <v>40</v>
      </c>
      <c r="D697" s="7">
        <v>405</v>
      </c>
      <c r="E697" s="31">
        <v>131888</v>
      </c>
      <c r="F697" s="29"/>
      <c r="G697" s="32">
        <v>45423</v>
      </c>
      <c r="H697" s="29"/>
      <c r="I697" s="5" t="s">
        <v>28</v>
      </c>
      <c r="J697" s="5" t="s">
        <v>80</v>
      </c>
      <c r="K697" s="5"/>
    </row>
    <row r="698" spans="1:11" ht="18.75" customHeight="1" x14ac:dyDescent="0.3">
      <c r="A698" s="30">
        <v>716</v>
      </c>
      <c r="B698" s="29"/>
      <c r="C698" s="5" t="s">
        <v>14</v>
      </c>
      <c r="D698" s="7">
        <v>187</v>
      </c>
      <c r="E698" s="31">
        <v>96979</v>
      </c>
      <c r="F698" s="29"/>
      <c r="G698" s="32">
        <v>45422</v>
      </c>
      <c r="H698" s="29"/>
      <c r="I698" s="5" t="s">
        <v>69</v>
      </c>
      <c r="J698" s="5" t="s">
        <v>79</v>
      </c>
      <c r="K698" s="5" t="s">
        <v>81</v>
      </c>
    </row>
    <row r="699" spans="1:11" ht="18.75" customHeight="1" x14ac:dyDescent="0.3">
      <c r="A699" s="30">
        <v>717</v>
      </c>
      <c r="B699" s="29"/>
      <c r="C699" s="5" t="s">
        <v>14</v>
      </c>
      <c r="D699" s="7">
        <v>169</v>
      </c>
      <c r="E699" s="31">
        <v>19830</v>
      </c>
      <c r="F699" s="29"/>
      <c r="G699" s="32">
        <v>45418</v>
      </c>
      <c r="H699" s="29"/>
      <c r="I699" s="5" t="s">
        <v>69</v>
      </c>
      <c r="J699" s="5" t="s">
        <v>79</v>
      </c>
      <c r="K699" s="5" t="s">
        <v>81</v>
      </c>
    </row>
    <row r="700" spans="1:11" ht="18.75" customHeight="1" x14ac:dyDescent="0.3">
      <c r="A700" s="30">
        <v>718</v>
      </c>
      <c r="B700" s="29"/>
      <c r="C700" s="5" t="s">
        <v>14</v>
      </c>
      <c r="D700" s="7">
        <v>226</v>
      </c>
      <c r="E700" s="31">
        <v>19841</v>
      </c>
      <c r="F700" s="29"/>
      <c r="G700" s="32">
        <v>45419</v>
      </c>
      <c r="H700" s="29"/>
      <c r="I700" s="5" t="s">
        <v>69</v>
      </c>
      <c r="J700" s="5" t="s">
        <v>79</v>
      </c>
      <c r="K700" s="5" t="s">
        <v>81</v>
      </c>
    </row>
    <row r="701" spans="1:11" ht="18.75" customHeight="1" x14ac:dyDescent="0.3">
      <c r="A701" s="30">
        <v>719</v>
      </c>
      <c r="B701" s="29"/>
      <c r="C701" s="5" t="s">
        <v>14</v>
      </c>
      <c r="D701" s="7">
        <v>161</v>
      </c>
      <c r="E701" s="31">
        <v>19845</v>
      </c>
      <c r="F701" s="29"/>
      <c r="G701" s="32">
        <v>45420</v>
      </c>
      <c r="H701" s="29"/>
      <c r="I701" s="5" t="s">
        <v>69</v>
      </c>
      <c r="J701" s="5" t="s">
        <v>79</v>
      </c>
      <c r="K701" s="5" t="s">
        <v>81</v>
      </c>
    </row>
    <row r="702" spans="1:11" ht="18.75" customHeight="1" x14ac:dyDescent="0.3">
      <c r="A702" s="30">
        <v>720</v>
      </c>
      <c r="B702" s="29"/>
      <c r="C702" s="5" t="s">
        <v>14</v>
      </c>
      <c r="D702" s="7">
        <v>170</v>
      </c>
      <c r="E702" s="31">
        <v>19858</v>
      </c>
      <c r="F702" s="29"/>
      <c r="G702" s="32">
        <v>45421</v>
      </c>
      <c r="H702" s="29"/>
      <c r="I702" s="5" t="s">
        <v>69</v>
      </c>
      <c r="J702" s="5" t="s">
        <v>79</v>
      </c>
      <c r="K702" s="5" t="s">
        <v>81</v>
      </c>
    </row>
    <row r="703" spans="1:11" ht="18.75" customHeight="1" x14ac:dyDescent="0.3">
      <c r="A703" s="30">
        <v>721</v>
      </c>
      <c r="B703" s="29"/>
      <c r="C703" s="5" t="s">
        <v>14</v>
      </c>
      <c r="D703" s="7">
        <v>173</v>
      </c>
      <c r="E703" s="31">
        <v>19867</v>
      </c>
      <c r="F703" s="29"/>
      <c r="G703" s="32">
        <v>45422</v>
      </c>
      <c r="H703" s="29"/>
      <c r="I703" s="5" t="s">
        <v>69</v>
      </c>
      <c r="J703" s="5" t="s">
        <v>79</v>
      </c>
      <c r="K703" s="5" t="s">
        <v>81</v>
      </c>
    </row>
    <row r="704" spans="1:11" ht="18.75" customHeight="1" x14ac:dyDescent="0.3">
      <c r="A704" s="30">
        <v>722</v>
      </c>
      <c r="B704" s="29"/>
      <c r="C704" s="5" t="s">
        <v>14</v>
      </c>
      <c r="D704" s="7">
        <v>164</v>
      </c>
      <c r="E704" s="31">
        <v>19893</v>
      </c>
      <c r="F704" s="29"/>
      <c r="G704" s="32">
        <v>45423</v>
      </c>
      <c r="H704" s="29"/>
      <c r="I704" s="5" t="s">
        <v>69</v>
      </c>
      <c r="J704" s="5" t="s">
        <v>79</v>
      </c>
      <c r="K704" s="5" t="s">
        <v>81</v>
      </c>
    </row>
    <row r="705" spans="1:11" ht="18.75" customHeight="1" x14ac:dyDescent="0.3">
      <c r="A705" s="30">
        <v>723</v>
      </c>
      <c r="B705" s="29"/>
      <c r="C705" s="5" t="s">
        <v>14</v>
      </c>
      <c r="D705" s="7">
        <v>248</v>
      </c>
      <c r="E705" s="31">
        <v>19878</v>
      </c>
      <c r="F705" s="29"/>
      <c r="G705" s="32">
        <v>45424</v>
      </c>
      <c r="H705" s="29"/>
      <c r="I705" s="5" t="s">
        <v>69</v>
      </c>
      <c r="J705" s="5" t="s">
        <v>79</v>
      </c>
      <c r="K705" s="5" t="s">
        <v>81</v>
      </c>
    </row>
    <row r="706" spans="1:11" ht="18.75" customHeight="1" x14ac:dyDescent="0.3">
      <c r="A706" s="30">
        <v>724</v>
      </c>
      <c r="B706" s="29"/>
      <c r="C706" s="5" t="s">
        <v>14</v>
      </c>
      <c r="D706" s="7">
        <v>211</v>
      </c>
      <c r="E706" s="31">
        <v>19880</v>
      </c>
      <c r="F706" s="29"/>
      <c r="G706" s="32">
        <v>45425</v>
      </c>
      <c r="H706" s="29"/>
      <c r="I706" s="5" t="s">
        <v>69</v>
      </c>
      <c r="J706" s="5" t="s">
        <v>79</v>
      </c>
      <c r="K706" s="5" t="s">
        <v>81</v>
      </c>
    </row>
    <row r="707" spans="1:11" ht="18.75" customHeight="1" x14ac:dyDescent="0.3">
      <c r="A707" s="30">
        <v>725</v>
      </c>
      <c r="B707" s="29"/>
      <c r="C707" s="5" t="s">
        <v>14</v>
      </c>
      <c r="D707" s="7">
        <v>164</v>
      </c>
      <c r="E707" s="31">
        <v>19907</v>
      </c>
      <c r="F707" s="29"/>
      <c r="G707" s="32">
        <v>45426</v>
      </c>
      <c r="H707" s="29"/>
      <c r="I707" s="5" t="s">
        <v>69</v>
      </c>
      <c r="J707" s="5" t="s">
        <v>79</v>
      </c>
      <c r="K707" s="5" t="s">
        <v>81</v>
      </c>
    </row>
    <row r="708" spans="1:11" ht="18.75" customHeight="1" x14ac:dyDescent="0.3">
      <c r="A708" s="30">
        <v>726</v>
      </c>
      <c r="B708" s="29"/>
      <c r="C708" s="5" t="s">
        <v>14</v>
      </c>
      <c r="D708" s="7">
        <v>169</v>
      </c>
      <c r="E708" s="31">
        <v>19917</v>
      </c>
      <c r="F708" s="29"/>
      <c r="G708" s="32">
        <v>45427</v>
      </c>
      <c r="H708" s="29"/>
      <c r="I708" s="5" t="s">
        <v>69</v>
      </c>
      <c r="J708" s="5" t="s">
        <v>79</v>
      </c>
      <c r="K708" s="5" t="s">
        <v>81</v>
      </c>
    </row>
    <row r="709" spans="1:11" ht="18.75" customHeight="1" x14ac:dyDescent="0.3">
      <c r="A709" s="30">
        <v>727</v>
      </c>
      <c r="B709" s="29"/>
      <c r="C709" s="5" t="s">
        <v>14</v>
      </c>
      <c r="D709" s="7">
        <v>152</v>
      </c>
      <c r="E709" s="31">
        <v>19931</v>
      </c>
      <c r="F709" s="29"/>
      <c r="G709" s="32">
        <v>45428</v>
      </c>
      <c r="H709" s="29"/>
      <c r="I709" s="5" t="s">
        <v>69</v>
      </c>
      <c r="J709" s="5" t="s">
        <v>79</v>
      </c>
      <c r="K709" s="5" t="s">
        <v>81</v>
      </c>
    </row>
    <row r="710" spans="1:11" ht="18.75" customHeight="1" x14ac:dyDescent="0.3">
      <c r="A710" s="30">
        <v>728</v>
      </c>
      <c r="B710" s="29"/>
      <c r="C710" s="5" t="s">
        <v>14</v>
      </c>
      <c r="D710" s="7">
        <v>205</v>
      </c>
      <c r="E710" s="31">
        <v>19942</v>
      </c>
      <c r="F710" s="29"/>
      <c r="G710" s="32">
        <v>45429</v>
      </c>
      <c r="H710" s="29"/>
      <c r="I710" s="5" t="s">
        <v>69</v>
      </c>
      <c r="J710" s="5" t="s">
        <v>79</v>
      </c>
      <c r="K710" s="5" t="s">
        <v>81</v>
      </c>
    </row>
    <row r="711" spans="1:11" ht="18.75" customHeight="1" x14ac:dyDescent="0.3">
      <c r="A711" s="30">
        <v>729</v>
      </c>
      <c r="B711" s="29"/>
      <c r="C711" s="5" t="s">
        <v>14</v>
      </c>
      <c r="D711" s="7">
        <v>273</v>
      </c>
      <c r="E711" s="31">
        <v>19951</v>
      </c>
      <c r="F711" s="29"/>
      <c r="G711" s="32">
        <v>45430</v>
      </c>
      <c r="H711" s="29"/>
      <c r="I711" s="5" t="s">
        <v>69</v>
      </c>
      <c r="J711" s="5" t="s">
        <v>79</v>
      </c>
      <c r="K711" s="5" t="s">
        <v>81</v>
      </c>
    </row>
    <row r="712" spans="1:11" ht="18.75" customHeight="1" x14ac:dyDescent="0.3">
      <c r="A712" s="30">
        <v>730</v>
      </c>
      <c r="B712" s="29"/>
      <c r="C712" s="5" t="s">
        <v>14</v>
      </c>
      <c r="D712" s="7">
        <v>191</v>
      </c>
      <c r="E712" s="31">
        <v>19959</v>
      </c>
      <c r="F712" s="29"/>
      <c r="G712" s="32">
        <v>45431</v>
      </c>
      <c r="H712" s="29"/>
      <c r="I712" s="5" t="s">
        <v>69</v>
      </c>
      <c r="J712" s="5" t="s">
        <v>79</v>
      </c>
      <c r="K712" s="5" t="s">
        <v>81</v>
      </c>
    </row>
    <row r="713" spans="1:11" ht="18.75" customHeight="1" x14ac:dyDescent="0.3">
      <c r="A713" s="30">
        <v>731</v>
      </c>
      <c r="B713" s="29"/>
      <c r="C713" s="5" t="s">
        <v>40</v>
      </c>
      <c r="D713" s="7">
        <v>526</v>
      </c>
      <c r="E713" s="31">
        <v>131954</v>
      </c>
      <c r="F713" s="29"/>
      <c r="G713" s="32">
        <v>45425</v>
      </c>
      <c r="H713" s="29"/>
      <c r="I713" s="5" t="s">
        <v>15</v>
      </c>
      <c r="J713" s="5" t="s">
        <v>30</v>
      </c>
      <c r="K713" s="5"/>
    </row>
    <row r="714" spans="1:11" ht="18.75" customHeight="1" x14ac:dyDescent="0.3">
      <c r="A714" s="30">
        <v>732</v>
      </c>
      <c r="B714" s="29"/>
      <c r="C714" s="5" t="s">
        <v>40</v>
      </c>
      <c r="D714" s="7">
        <v>412</v>
      </c>
      <c r="E714" s="31">
        <v>133272</v>
      </c>
      <c r="F714" s="29"/>
      <c r="G714" s="32">
        <v>45425</v>
      </c>
      <c r="H714" s="29"/>
      <c r="I714" s="5" t="s">
        <v>15</v>
      </c>
      <c r="J714" s="5" t="s">
        <v>30</v>
      </c>
      <c r="K714" s="5"/>
    </row>
    <row r="715" spans="1:11" ht="18.75" customHeight="1" x14ac:dyDescent="0.3">
      <c r="A715" s="30">
        <v>733</v>
      </c>
      <c r="B715" s="29"/>
      <c r="C715" s="5" t="s">
        <v>40</v>
      </c>
      <c r="D715" s="7">
        <v>718</v>
      </c>
      <c r="E715" s="31">
        <v>133273</v>
      </c>
      <c r="F715" s="29"/>
      <c r="G715" s="32">
        <v>45426</v>
      </c>
      <c r="H715" s="29"/>
      <c r="I715" s="5" t="s">
        <v>15</v>
      </c>
      <c r="J715" s="5" t="s">
        <v>30</v>
      </c>
      <c r="K715" s="5"/>
    </row>
    <row r="716" spans="1:11" ht="18.75" customHeight="1" x14ac:dyDescent="0.3">
      <c r="A716" s="30">
        <v>734</v>
      </c>
      <c r="B716" s="29"/>
      <c r="C716" s="5" t="s">
        <v>40</v>
      </c>
      <c r="D716" s="7">
        <v>400</v>
      </c>
      <c r="E716" s="31">
        <v>130064</v>
      </c>
      <c r="F716" s="29"/>
      <c r="G716" s="32">
        <v>45427</v>
      </c>
      <c r="H716" s="29"/>
      <c r="I716" s="5" t="s">
        <v>15</v>
      </c>
      <c r="J716" s="5" t="s">
        <v>30</v>
      </c>
      <c r="K716" s="5"/>
    </row>
    <row r="717" spans="1:11" ht="18.75" customHeight="1" x14ac:dyDescent="0.3">
      <c r="A717" s="30">
        <v>735</v>
      </c>
      <c r="B717" s="29"/>
      <c r="C717" s="5" t="s">
        <v>40</v>
      </c>
      <c r="D717" s="7">
        <v>405</v>
      </c>
      <c r="E717" s="31">
        <v>131892</v>
      </c>
      <c r="F717" s="29"/>
      <c r="G717" s="32">
        <v>45427</v>
      </c>
      <c r="H717" s="29"/>
      <c r="I717" s="5" t="s">
        <v>15</v>
      </c>
      <c r="J717" s="5" t="s">
        <v>30</v>
      </c>
      <c r="K717" s="5"/>
    </row>
    <row r="718" spans="1:11" ht="18.75" customHeight="1" x14ac:dyDescent="0.3">
      <c r="A718" s="30">
        <v>736</v>
      </c>
      <c r="B718" s="29"/>
      <c r="C718" s="5" t="s">
        <v>40</v>
      </c>
      <c r="D718" s="7">
        <v>520</v>
      </c>
      <c r="E718" s="31">
        <v>131964</v>
      </c>
      <c r="F718" s="29"/>
      <c r="G718" s="32">
        <v>45428</v>
      </c>
      <c r="H718" s="29"/>
      <c r="I718" s="5" t="s">
        <v>15</v>
      </c>
      <c r="J718" s="5" t="s">
        <v>30</v>
      </c>
      <c r="K718" s="5"/>
    </row>
    <row r="719" spans="1:11" ht="18.75" customHeight="1" x14ac:dyDescent="0.3">
      <c r="A719" s="30">
        <v>737</v>
      </c>
      <c r="B719" s="29"/>
      <c r="C719" s="5" t="s">
        <v>40</v>
      </c>
      <c r="D719" s="7">
        <v>400</v>
      </c>
      <c r="E719" s="31">
        <v>133292</v>
      </c>
      <c r="F719" s="29"/>
      <c r="G719" s="32">
        <v>45428</v>
      </c>
      <c r="H719" s="29"/>
      <c r="I719" s="5" t="s">
        <v>15</v>
      </c>
      <c r="J719" s="5" t="s">
        <v>30</v>
      </c>
      <c r="K719" s="5"/>
    </row>
    <row r="720" spans="1:11" ht="18.75" customHeight="1" x14ac:dyDescent="0.3">
      <c r="A720" s="30">
        <v>738</v>
      </c>
      <c r="B720" s="29"/>
      <c r="C720" s="5" t="s">
        <v>40</v>
      </c>
      <c r="D720" s="7">
        <v>602</v>
      </c>
      <c r="E720" s="31">
        <v>133295</v>
      </c>
      <c r="F720" s="29"/>
      <c r="G720" s="32">
        <v>45429</v>
      </c>
      <c r="H720" s="29"/>
      <c r="I720" s="5" t="s">
        <v>15</v>
      </c>
      <c r="J720" s="5" t="s">
        <v>30</v>
      </c>
      <c r="K720" s="5"/>
    </row>
    <row r="721" spans="1:11" ht="18.75" customHeight="1" x14ac:dyDescent="0.3">
      <c r="A721" s="30">
        <v>739</v>
      </c>
      <c r="B721" s="29"/>
      <c r="C721" s="5" t="s">
        <v>40</v>
      </c>
      <c r="D721" s="7">
        <v>400</v>
      </c>
      <c r="E721" s="31">
        <v>131654</v>
      </c>
      <c r="F721" s="29"/>
      <c r="G721" s="32">
        <v>45429</v>
      </c>
      <c r="H721" s="29"/>
      <c r="I721" s="5" t="s">
        <v>15</v>
      </c>
      <c r="J721" s="5" t="s">
        <v>30</v>
      </c>
      <c r="K721" s="5"/>
    </row>
    <row r="722" spans="1:11" ht="18.75" customHeight="1" x14ac:dyDescent="0.3">
      <c r="A722" s="30">
        <v>740</v>
      </c>
      <c r="B722" s="29"/>
      <c r="C722" s="5" t="s">
        <v>40</v>
      </c>
      <c r="D722" s="7">
        <v>500</v>
      </c>
      <c r="E722" s="31">
        <v>131658</v>
      </c>
      <c r="F722" s="29"/>
      <c r="G722" s="32">
        <v>45430</v>
      </c>
      <c r="H722" s="29"/>
      <c r="I722" s="5" t="s">
        <v>15</v>
      </c>
      <c r="J722" s="5" t="s">
        <v>30</v>
      </c>
      <c r="K722" s="5"/>
    </row>
    <row r="723" spans="1:11" ht="18.75" customHeight="1" x14ac:dyDescent="0.3">
      <c r="A723" s="30">
        <v>741</v>
      </c>
      <c r="B723" s="29"/>
      <c r="C723" s="5" t="s">
        <v>40</v>
      </c>
      <c r="D723" s="7">
        <v>360</v>
      </c>
      <c r="E723" s="31">
        <v>133271</v>
      </c>
      <c r="F723" s="29"/>
      <c r="G723" s="32">
        <v>45425</v>
      </c>
      <c r="H723" s="29"/>
      <c r="I723" s="5" t="s">
        <v>28</v>
      </c>
      <c r="J723" s="5" t="s">
        <v>80</v>
      </c>
      <c r="K723" s="5"/>
    </row>
    <row r="724" spans="1:11" ht="18.75" customHeight="1" x14ac:dyDescent="0.3">
      <c r="A724" s="30">
        <v>742</v>
      </c>
      <c r="B724" s="29"/>
      <c r="C724" s="5" t="s">
        <v>40</v>
      </c>
      <c r="D724" s="7">
        <v>490</v>
      </c>
      <c r="E724" s="31">
        <v>130060</v>
      </c>
      <c r="F724" s="29"/>
      <c r="G724" s="32">
        <v>45426</v>
      </c>
      <c r="H724" s="29"/>
      <c r="I724" s="5" t="s">
        <v>28</v>
      </c>
      <c r="J724" s="5" t="s">
        <v>80</v>
      </c>
      <c r="K724" s="5"/>
    </row>
    <row r="725" spans="1:11" ht="18.75" customHeight="1" x14ac:dyDescent="0.3">
      <c r="A725" s="30">
        <v>743</v>
      </c>
      <c r="B725" s="29"/>
      <c r="C725" s="5" t="s">
        <v>40</v>
      </c>
      <c r="D725" s="7">
        <v>539</v>
      </c>
      <c r="E725" s="31">
        <v>133282</v>
      </c>
      <c r="F725" s="29"/>
      <c r="G725" s="32">
        <v>45427</v>
      </c>
      <c r="H725" s="29"/>
      <c r="I725" s="5" t="s">
        <v>28</v>
      </c>
      <c r="J725" s="5" t="s">
        <v>80</v>
      </c>
      <c r="K725" s="5"/>
    </row>
    <row r="726" spans="1:11" ht="18.75" customHeight="1" x14ac:dyDescent="0.3">
      <c r="A726" s="30">
        <v>744</v>
      </c>
      <c r="B726" s="29"/>
      <c r="C726" s="5" t="s">
        <v>40</v>
      </c>
      <c r="D726" s="7">
        <v>482</v>
      </c>
      <c r="E726" s="31">
        <v>131962</v>
      </c>
      <c r="F726" s="29"/>
      <c r="G726" s="32">
        <v>45427</v>
      </c>
      <c r="H726" s="29"/>
      <c r="I726" s="5" t="s">
        <v>28</v>
      </c>
      <c r="J726" s="5" t="s">
        <v>80</v>
      </c>
      <c r="K726" s="5"/>
    </row>
    <row r="727" spans="1:11" ht="18.75" customHeight="1" x14ac:dyDescent="0.3">
      <c r="A727" s="30">
        <v>745</v>
      </c>
      <c r="B727" s="29"/>
      <c r="C727" s="5" t="s">
        <v>40</v>
      </c>
      <c r="D727" s="7">
        <v>390</v>
      </c>
      <c r="E727" s="31">
        <v>133290</v>
      </c>
      <c r="F727" s="29"/>
      <c r="G727" s="32">
        <v>45428</v>
      </c>
      <c r="H727" s="29"/>
      <c r="I727" s="5" t="s">
        <v>28</v>
      </c>
      <c r="J727" s="5" t="s">
        <v>80</v>
      </c>
      <c r="K727" s="5"/>
    </row>
    <row r="728" spans="1:11" ht="18.75" customHeight="1" x14ac:dyDescent="0.3">
      <c r="A728" s="30">
        <v>746</v>
      </c>
      <c r="B728" s="29"/>
      <c r="C728" s="5" t="s">
        <v>40</v>
      </c>
      <c r="D728" s="7">
        <v>388</v>
      </c>
      <c r="E728" s="31">
        <v>131966</v>
      </c>
      <c r="F728" s="29"/>
      <c r="G728" s="32">
        <v>45428</v>
      </c>
      <c r="H728" s="29"/>
      <c r="I728" s="5" t="s">
        <v>28</v>
      </c>
      <c r="J728" s="5" t="s">
        <v>80</v>
      </c>
      <c r="K728" s="5"/>
    </row>
    <row r="729" spans="1:11" ht="18.75" customHeight="1" x14ac:dyDescent="0.3">
      <c r="A729" s="30">
        <v>747</v>
      </c>
      <c r="B729" s="29"/>
      <c r="C729" s="5" t="s">
        <v>40</v>
      </c>
      <c r="D729" s="7">
        <v>420</v>
      </c>
      <c r="E729" s="31">
        <v>131651</v>
      </c>
      <c r="F729" s="29"/>
      <c r="G729" s="32">
        <v>45429</v>
      </c>
      <c r="H729" s="29"/>
      <c r="I729" s="5" t="s">
        <v>28</v>
      </c>
      <c r="J729" s="5" t="s">
        <v>80</v>
      </c>
      <c r="K729" s="5"/>
    </row>
    <row r="730" spans="1:11" ht="18.75" customHeight="1" x14ac:dyDescent="0.3">
      <c r="A730" s="30">
        <v>748</v>
      </c>
      <c r="B730" s="29"/>
      <c r="C730" s="5" t="s">
        <v>40</v>
      </c>
      <c r="D730" s="7">
        <v>529</v>
      </c>
      <c r="E730" s="31">
        <v>130067</v>
      </c>
      <c r="F730" s="29"/>
      <c r="G730" s="32">
        <v>45429</v>
      </c>
      <c r="H730" s="29"/>
      <c r="I730" s="5" t="s">
        <v>28</v>
      </c>
      <c r="J730" s="5" t="s">
        <v>80</v>
      </c>
      <c r="K730" s="5"/>
    </row>
    <row r="731" spans="1:11" ht="18.75" customHeight="1" x14ac:dyDescent="0.3">
      <c r="A731" s="30">
        <v>749</v>
      </c>
      <c r="B731" s="29"/>
      <c r="C731" s="5" t="s">
        <v>40</v>
      </c>
      <c r="D731" s="7">
        <v>476</v>
      </c>
      <c r="E731" s="31">
        <v>130137</v>
      </c>
      <c r="F731" s="29"/>
      <c r="G731" s="32">
        <v>45430</v>
      </c>
      <c r="H731" s="29"/>
      <c r="I731" s="5" t="s">
        <v>28</v>
      </c>
      <c r="J731" s="5" t="s">
        <v>80</v>
      </c>
      <c r="K731" s="5"/>
    </row>
    <row r="732" spans="1:11" ht="18.75" customHeight="1" x14ac:dyDescent="0.3">
      <c r="A732" s="30">
        <v>750</v>
      </c>
      <c r="B732" s="29"/>
      <c r="C732" s="5" t="s">
        <v>40</v>
      </c>
      <c r="D732" s="7">
        <v>400</v>
      </c>
      <c r="E732" s="31">
        <v>130070</v>
      </c>
      <c r="F732" s="29"/>
      <c r="G732" s="32">
        <v>45430</v>
      </c>
      <c r="H732" s="29"/>
      <c r="I732" s="5" t="s">
        <v>28</v>
      </c>
      <c r="J732" s="5" t="s">
        <v>80</v>
      </c>
      <c r="K732" s="5"/>
    </row>
    <row r="733" spans="1:11" ht="18.75" customHeight="1" x14ac:dyDescent="0.3">
      <c r="A733" s="30">
        <v>751</v>
      </c>
      <c r="B733" s="29"/>
      <c r="C733" s="5" t="s">
        <v>14</v>
      </c>
      <c r="D733" s="7">
        <v>192</v>
      </c>
      <c r="E733" s="31">
        <v>19969</v>
      </c>
      <c r="F733" s="29"/>
      <c r="G733" s="32">
        <v>45432</v>
      </c>
      <c r="H733" s="29"/>
      <c r="I733" s="5" t="s">
        <v>69</v>
      </c>
      <c r="J733" s="5" t="s">
        <v>79</v>
      </c>
      <c r="K733" s="5"/>
    </row>
    <row r="734" spans="1:11" ht="18.75" customHeight="1" x14ac:dyDescent="0.3">
      <c r="A734" s="30">
        <v>752</v>
      </c>
      <c r="B734" s="29"/>
      <c r="C734" s="5" t="s">
        <v>14</v>
      </c>
      <c r="D734" s="7">
        <v>216</v>
      </c>
      <c r="E734" s="31">
        <v>19985</v>
      </c>
      <c r="F734" s="29"/>
      <c r="G734" s="32">
        <v>45433</v>
      </c>
      <c r="H734" s="29"/>
      <c r="I734" s="5" t="s">
        <v>69</v>
      </c>
      <c r="J734" s="5" t="s">
        <v>79</v>
      </c>
      <c r="K734" s="5"/>
    </row>
    <row r="735" spans="1:11" ht="18.75" customHeight="1" x14ac:dyDescent="0.3">
      <c r="A735" s="30">
        <v>753</v>
      </c>
      <c r="B735" s="29"/>
      <c r="C735" s="5" t="s">
        <v>14</v>
      </c>
      <c r="D735" s="7">
        <v>271</v>
      </c>
      <c r="E735" s="31">
        <v>19993</v>
      </c>
      <c r="F735" s="29"/>
      <c r="G735" s="32">
        <v>45434</v>
      </c>
      <c r="H735" s="29"/>
      <c r="I735" s="5" t="s">
        <v>69</v>
      </c>
      <c r="J735" s="5" t="s">
        <v>79</v>
      </c>
      <c r="K735" s="5"/>
    </row>
    <row r="736" spans="1:11" ht="18.75" customHeight="1" x14ac:dyDescent="0.3">
      <c r="A736" s="30">
        <v>754</v>
      </c>
      <c r="B736" s="29"/>
      <c r="C736" s="5" t="s">
        <v>14</v>
      </c>
      <c r="D736" s="7">
        <v>285</v>
      </c>
      <c r="E736" s="31">
        <v>20025</v>
      </c>
      <c r="F736" s="29"/>
      <c r="G736" s="32">
        <v>45435</v>
      </c>
      <c r="H736" s="29"/>
      <c r="I736" s="5" t="s">
        <v>69</v>
      </c>
      <c r="J736" s="5" t="s">
        <v>79</v>
      </c>
      <c r="K736" s="5"/>
    </row>
    <row r="737" spans="1:11" ht="18.75" customHeight="1" x14ac:dyDescent="0.3">
      <c r="A737" s="30">
        <v>755</v>
      </c>
      <c r="B737" s="29"/>
      <c r="C737" s="5" t="s">
        <v>14</v>
      </c>
      <c r="D737" s="7">
        <v>188</v>
      </c>
      <c r="E737" s="31">
        <v>20039</v>
      </c>
      <c r="F737" s="29"/>
      <c r="G737" s="32">
        <v>45436</v>
      </c>
      <c r="H737" s="29"/>
      <c r="I737" s="5" t="s">
        <v>69</v>
      </c>
      <c r="J737" s="5" t="s">
        <v>79</v>
      </c>
      <c r="K737" s="5"/>
    </row>
    <row r="738" spans="1:11" ht="18.75" customHeight="1" x14ac:dyDescent="0.3">
      <c r="A738" s="30">
        <v>756</v>
      </c>
      <c r="B738" s="29"/>
      <c r="C738" s="5" t="s">
        <v>14</v>
      </c>
      <c r="D738" s="7">
        <v>199</v>
      </c>
      <c r="E738" s="31">
        <v>20047</v>
      </c>
      <c r="F738" s="29"/>
      <c r="G738" s="32">
        <v>45437</v>
      </c>
      <c r="H738" s="29"/>
      <c r="I738" s="5" t="s">
        <v>69</v>
      </c>
      <c r="J738" s="5" t="s">
        <v>79</v>
      </c>
      <c r="K738" s="5"/>
    </row>
    <row r="739" spans="1:11" ht="18.75" customHeight="1" x14ac:dyDescent="0.3">
      <c r="A739" s="30">
        <v>757</v>
      </c>
      <c r="B739" s="29"/>
      <c r="C739" s="5" t="s">
        <v>14</v>
      </c>
      <c r="D739" s="7">
        <v>162</v>
      </c>
      <c r="E739" s="31">
        <v>20055</v>
      </c>
      <c r="F739" s="29"/>
      <c r="G739" s="32">
        <v>45438</v>
      </c>
      <c r="H739" s="29"/>
      <c r="I739" s="5" t="s">
        <v>69</v>
      </c>
      <c r="J739" s="5" t="s">
        <v>79</v>
      </c>
      <c r="K739" s="5"/>
    </row>
    <row r="740" spans="1:11" ht="18.75" customHeight="1" x14ac:dyDescent="0.3">
      <c r="A740" s="30">
        <v>758</v>
      </c>
      <c r="B740" s="29"/>
      <c r="C740" s="5" t="s">
        <v>40</v>
      </c>
      <c r="D740" s="7">
        <v>450</v>
      </c>
      <c r="E740" s="31">
        <v>131667</v>
      </c>
      <c r="F740" s="29"/>
      <c r="G740" s="32">
        <v>45432</v>
      </c>
      <c r="H740" s="29"/>
      <c r="I740" s="5" t="s">
        <v>28</v>
      </c>
      <c r="J740" s="5" t="s">
        <v>80</v>
      </c>
      <c r="K740" s="5"/>
    </row>
    <row r="741" spans="1:11" ht="18.75" customHeight="1" x14ac:dyDescent="0.3">
      <c r="A741" s="30">
        <v>759</v>
      </c>
      <c r="B741" s="29"/>
      <c r="C741" s="5" t="s">
        <v>40</v>
      </c>
      <c r="D741" s="7">
        <v>560</v>
      </c>
      <c r="E741" s="31">
        <v>131671</v>
      </c>
      <c r="F741" s="29"/>
      <c r="G741" s="32">
        <v>45432</v>
      </c>
      <c r="H741" s="29"/>
      <c r="I741" s="5" t="s">
        <v>28</v>
      </c>
      <c r="J741" s="5" t="s">
        <v>80</v>
      </c>
      <c r="K741" s="5"/>
    </row>
    <row r="742" spans="1:11" ht="18.75" customHeight="1" x14ac:dyDescent="0.3">
      <c r="A742" s="30">
        <v>760</v>
      </c>
      <c r="B742" s="29"/>
      <c r="C742" s="5" t="s">
        <v>40</v>
      </c>
      <c r="D742" s="7">
        <v>405</v>
      </c>
      <c r="E742" s="31">
        <v>135054</v>
      </c>
      <c r="F742" s="29"/>
      <c r="G742" s="32">
        <v>45433</v>
      </c>
      <c r="H742" s="29"/>
      <c r="I742" s="5" t="s">
        <v>28</v>
      </c>
      <c r="J742" s="5" t="s">
        <v>80</v>
      </c>
      <c r="K742" s="5"/>
    </row>
    <row r="743" spans="1:11" ht="18.75" customHeight="1" x14ac:dyDescent="0.3">
      <c r="A743" s="30">
        <v>761</v>
      </c>
      <c r="B743" s="29"/>
      <c r="C743" s="5" t="s">
        <v>40</v>
      </c>
      <c r="D743" s="7">
        <v>400</v>
      </c>
      <c r="E743" s="31">
        <v>131680</v>
      </c>
      <c r="F743" s="29"/>
      <c r="G743" s="32">
        <v>45434</v>
      </c>
      <c r="H743" s="29"/>
      <c r="I743" s="5" t="s">
        <v>28</v>
      </c>
      <c r="J743" s="5" t="s">
        <v>80</v>
      </c>
      <c r="K743" s="5"/>
    </row>
    <row r="744" spans="1:11" ht="18.75" customHeight="1" x14ac:dyDescent="0.3">
      <c r="A744" s="30">
        <v>762</v>
      </c>
      <c r="B744" s="29"/>
      <c r="C744" s="5" t="s">
        <v>40</v>
      </c>
      <c r="D744" s="7">
        <v>487</v>
      </c>
      <c r="E744" s="31">
        <v>131912</v>
      </c>
      <c r="F744" s="29"/>
      <c r="G744" s="32">
        <v>45435</v>
      </c>
      <c r="H744" s="29"/>
      <c r="I744" s="5" t="s">
        <v>28</v>
      </c>
      <c r="J744" s="5" t="s">
        <v>80</v>
      </c>
      <c r="K744" s="5"/>
    </row>
    <row r="745" spans="1:11" ht="18.75" customHeight="1" x14ac:dyDescent="0.3">
      <c r="A745" s="30">
        <v>763</v>
      </c>
      <c r="B745" s="29"/>
      <c r="C745" s="5" t="s">
        <v>40</v>
      </c>
      <c r="D745" s="7">
        <v>302</v>
      </c>
      <c r="E745" s="31">
        <v>135151</v>
      </c>
      <c r="F745" s="29"/>
      <c r="G745" s="32">
        <v>45435</v>
      </c>
      <c r="H745" s="29"/>
      <c r="I745" s="5" t="s">
        <v>28</v>
      </c>
      <c r="J745" s="5" t="s">
        <v>80</v>
      </c>
      <c r="K745" s="5"/>
    </row>
    <row r="746" spans="1:11" ht="18.75" customHeight="1" x14ac:dyDescent="0.3">
      <c r="A746" s="30">
        <v>764</v>
      </c>
      <c r="B746" s="29"/>
      <c r="C746" s="5" t="s">
        <v>40</v>
      </c>
      <c r="D746" s="7">
        <v>640</v>
      </c>
      <c r="E746" s="31">
        <v>135064</v>
      </c>
      <c r="F746" s="29"/>
      <c r="G746" s="32">
        <v>45436</v>
      </c>
      <c r="H746" s="29"/>
      <c r="I746" s="5" t="s">
        <v>28</v>
      </c>
      <c r="J746" s="5" t="s">
        <v>80</v>
      </c>
      <c r="K746" s="5"/>
    </row>
    <row r="747" spans="1:11" ht="18.75" customHeight="1" x14ac:dyDescent="0.3">
      <c r="A747" s="30">
        <v>765</v>
      </c>
      <c r="B747" s="29"/>
      <c r="C747" s="5" t="s">
        <v>40</v>
      </c>
      <c r="D747" s="7">
        <v>500</v>
      </c>
      <c r="E747" s="31">
        <v>131694</v>
      </c>
      <c r="F747" s="29"/>
      <c r="G747" s="32">
        <v>45436</v>
      </c>
      <c r="H747" s="29"/>
      <c r="I747" s="5" t="s">
        <v>28</v>
      </c>
      <c r="J747" s="5" t="s">
        <v>80</v>
      </c>
      <c r="K747" s="5"/>
    </row>
    <row r="748" spans="1:11" ht="18.75" customHeight="1" x14ac:dyDescent="0.3">
      <c r="A748" s="30">
        <v>766</v>
      </c>
      <c r="B748" s="29"/>
      <c r="C748" s="5" t="s">
        <v>40</v>
      </c>
      <c r="D748" s="7">
        <v>400</v>
      </c>
      <c r="E748" s="31">
        <v>131663</v>
      </c>
      <c r="F748" s="29"/>
      <c r="G748" s="32">
        <v>45432</v>
      </c>
      <c r="H748" s="29"/>
      <c r="I748" s="5" t="s">
        <v>15</v>
      </c>
      <c r="J748" s="5" t="s">
        <v>30</v>
      </c>
      <c r="K748" s="5"/>
    </row>
    <row r="749" spans="1:11" ht="18.75" customHeight="1" x14ac:dyDescent="0.3">
      <c r="A749" s="30">
        <v>767</v>
      </c>
      <c r="B749" s="29"/>
      <c r="C749" s="5" t="s">
        <v>40</v>
      </c>
      <c r="D749" s="7">
        <v>400</v>
      </c>
      <c r="E749" s="31">
        <v>130075</v>
      </c>
      <c r="F749" s="29"/>
      <c r="G749" s="32">
        <v>45432</v>
      </c>
      <c r="H749" s="29"/>
      <c r="I749" s="5" t="s">
        <v>15</v>
      </c>
      <c r="J749" s="5" t="s">
        <v>30</v>
      </c>
      <c r="K749" s="5"/>
    </row>
    <row r="750" spans="1:11" ht="18.75" customHeight="1" x14ac:dyDescent="0.3">
      <c r="A750" s="30">
        <v>768</v>
      </c>
      <c r="B750" s="29"/>
      <c r="C750" s="5" t="s">
        <v>40</v>
      </c>
      <c r="D750" s="7">
        <v>383</v>
      </c>
      <c r="E750" s="31">
        <v>130077</v>
      </c>
      <c r="F750" s="29"/>
      <c r="G750" s="32">
        <v>45433</v>
      </c>
      <c r="H750" s="29"/>
      <c r="I750" s="5" t="s">
        <v>15</v>
      </c>
      <c r="J750" s="5" t="s">
        <v>30</v>
      </c>
      <c r="K750" s="5"/>
    </row>
    <row r="751" spans="1:11" ht="18.75" customHeight="1" x14ac:dyDescent="0.3">
      <c r="A751" s="30">
        <v>769</v>
      </c>
      <c r="B751" s="29"/>
      <c r="C751" s="5" t="s">
        <v>40</v>
      </c>
      <c r="D751" s="7">
        <v>500</v>
      </c>
      <c r="E751" s="31">
        <v>131676</v>
      </c>
      <c r="F751" s="29"/>
      <c r="G751" s="32">
        <v>45433</v>
      </c>
      <c r="H751" s="29"/>
      <c r="I751" s="5" t="s">
        <v>15</v>
      </c>
      <c r="J751" s="5" t="s">
        <v>30</v>
      </c>
      <c r="K751" s="5"/>
    </row>
    <row r="752" spans="1:11" ht="18.75" customHeight="1" x14ac:dyDescent="0.3">
      <c r="A752" s="30">
        <v>770</v>
      </c>
      <c r="B752" s="29"/>
      <c r="C752" s="5" t="s">
        <v>40</v>
      </c>
      <c r="D752" s="7">
        <v>520</v>
      </c>
      <c r="E752" s="31">
        <v>135056</v>
      </c>
      <c r="F752" s="29"/>
      <c r="G752" s="32">
        <v>45434</v>
      </c>
      <c r="H752" s="29"/>
      <c r="I752" s="5" t="s">
        <v>15</v>
      </c>
      <c r="J752" s="5" t="s">
        <v>30</v>
      </c>
      <c r="K752" s="5"/>
    </row>
    <row r="753" spans="1:11" ht="18.75" customHeight="1" x14ac:dyDescent="0.3">
      <c r="A753" s="30">
        <v>771</v>
      </c>
      <c r="B753" s="29"/>
      <c r="C753" s="5" t="s">
        <v>40</v>
      </c>
      <c r="D753" s="7">
        <v>400</v>
      </c>
      <c r="E753" s="31">
        <v>131685</v>
      </c>
      <c r="F753" s="29"/>
      <c r="G753" s="32">
        <v>45435</v>
      </c>
      <c r="H753" s="29"/>
      <c r="I753" s="5" t="s">
        <v>15</v>
      </c>
      <c r="J753" s="5" t="s">
        <v>30</v>
      </c>
      <c r="K753" s="5"/>
    </row>
    <row r="754" spans="1:11" ht="18.75" customHeight="1" x14ac:dyDescent="0.3">
      <c r="A754" s="30">
        <v>772</v>
      </c>
      <c r="B754" s="29"/>
      <c r="C754" s="5" t="s">
        <v>40</v>
      </c>
      <c r="D754" s="7">
        <v>500</v>
      </c>
      <c r="E754" s="31">
        <v>131689</v>
      </c>
      <c r="F754" s="29"/>
      <c r="G754" s="32">
        <v>45435</v>
      </c>
      <c r="H754" s="29"/>
      <c r="I754" s="5" t="s">
        <v>15</v>
      </c>
      <c r="J754" s="5" t="s">
        <v>30</v>
      </c>
      <c r="K754" s="5"/>
    </row>
    <row r="755" spans="1:11" ht="18.75" customHeight="1" x14ac:dyDescent="0.3">
      <c r="A755" s="30">
        <v>773</v>
      </c>
      <c r="B755" s="29"/>
      <c r="C755" s="5" t="s">
        <v>40</v>
      </c>
      <c r="D755" s="7">
        <v>405</v>
      </c>
      <c r="E755" s="31">
        <v>131915</v>
      </c>
      <c r="F755" s="29"/>
      <c r="G755" s="32">
        <v>45436</v>
      </c>
      <c r="H755" s="29"/>
      <c r="I755" s="5" t="s">
        <v>15</v>
      </c>
      <c r="J755" s="5" t="s">
        <v>30</v>
      </c>
      <c r="K755" s="5"/>
    </row>
    <row r="756" spans="1:11" ht="18.75" customHeight="1" x14ac:dyDescent="0.3">
      <c r="A756" s="30">
        <v>774</v>
      </c>
      <c r="B756" s="29"/>
      <c r="C756" s="5" t="s">
        <v>40</v>
      </c>
      <c r="D756" s="7">
        <v>387</v>
      </c>
      <c r="E756" s="31">
        <v>135166</v>
      </c>
      <c r="F756" s="29"/>
      <c r="G756" s="32">
        <v>45437</v>
      </c>
      <c r="H756" s="29"/>
      <c r="I756" s="5" t="s">
        <v>15</v>
      </c>
      <c r="J756" s="5" t="s">
        <v>30</v>
      </c>
      <c r="K756" s="5"/>
    </row>
    <row r="757" spans="1:11" ht="18.75" customHeight="1" x14ac:dyDescent="0.3">
      <c r="A757" s="30">
        <v>775</v>
      </c>
      <c r="B757" s="29"/>
      <c r="C757" s="5" t="s">
        <v>40</v>
      </c>
      <c r="D757" s="7">
        <v>383</v>
      </c>
      <c r="E757" s="31">
        <v>130081</v>
      </c>
      <c r="F757" s="29"/>
      <c r="G757" s="32">
        <v>45439</v>
      </c>
      <c r="H757" s="29"/>
      <c r="I757" s="5" t="s">
        <v>28</v>
      </c>
      <c r="J757" s="5" t="s">
        <v>80</v>
      </c>
      <c r="K757" s="5"/>
    </row>
    <row r="758" spans="1:11" ht="18.75" customHeight="1" x14ac:dyDescent="0.3">
      <c r="A758" s="30">
        <v>776</v>
      </c>
      <c r="B758" s="29"/>
      <c r="C758" s="5" t="s">
        <v>40</v>
      </c>
      <c r="D758" s="7">
        <v>500</v>
      </c>
      <c r="E758" s="31">
        <v>135004</v>
      </c>
      <c r="F758" s="29"/>
      <c r="G758" s="32">
        <v>45439</v>
      </c>
      <c r="H758" s="29"/>
      <c r="I758" s="5" t="s">
        <v>28</v>
      </c>
      <c r="J758" s="5" t="s">
        <v>80</v>
      </c>
      <c r="K758" s="5"/>
    </row>
    <row r="759" spans="1:11" ht="18.75" customHeight="1" x14ac:dyDescent="0.3">
      <c r="A759" s="30">
        <v>777</v>
      </c>
      <c r="B759" s="29"/>
      <c r="C759" s="5" t="s">
        <v>40</v>
      </c>
      <c r="D759" s="7">
        <v>632</v>
      </c>
      <c r="E759" s="31">
        <v>135071</v>
      </c>
      <c r="F759" s="29"/>
      <c r="G759" s="32">
        <v>45440</v>
      </c>
      <c r="H759" s="29"/>
      <c r="I759" s="5" t="s">
        <v>28</v>
      </c>
      <c r="J759" s="5" t="s">
        <v>80</v>
      </c>
      <c r="K759" s="5"/>
    </row>
    <row r="760" spans="1:11" ht="18.75" customHeight="1" x14ac:dyDescent="0.3">
      <c r="A760" s="30">
        <v>778</v>
      </c>
      <c r="B760" s="29"/>
      <c r="C760" s="5" t="s">
        <v>40</v>
      </c>
      <c r="D760" s="7">
        <v>400</v>
      </c>
      <c r="E760" s="31">
        <v>135017</v>
      </c>
      <c r="F760" s="29"/>
      <c r="G760" s="32">
        <v>45440</v>
      </c>
      <c r="H760" s="29"/>
      <c r="I760" s="5" t="s">
        <v>28</v>
      </c>
      <c r="J760" s="5" t="s">
        <v>80</v>
      </c>
      <c r="K760" s="5"/>
    </row>
    <row r="761" spans="1:11" ht="18.75" customHeight="1" x14ac:dyDescent="0.3">
      <c r="A761" s="30">
        <v>779</v>
      </c>
      <c r="B761" s="29"/>
      <c r="C761" s="5" t="s">
        <v>40</v>
      </c>
      <c r="D761" s="7">
        <v>400</v>
      </c>
      <c r="E761" s="31">
        <v>130092</v>
      </c>
      <c r="F761" s="29"/>
      <c r="G761" s="32">
        <v>45441</v>
      </c>
      <c r="H761" s="29"/>
      <c r="I761" s="5" t="s">
        <v>28</v>
      </c>
      <c r="J761" s="5" t="s">
        <v>80</v>
      </c>
      <c r="K761" s="5"/>
    </row>
    <row r="762" spans="1:11" ht="18.75" customHeight="1" x14ac:dyDescent="0.3">
      <c r="A762" s="30">
        <v>780</v>
      </c>
      <c r="B762" s="29"/>
      <c r="C762" s="5" t="s">
        <v>40</v>
      </c>
      <c r="D762" s="7">
        <v>302</v>
      </c>
      <c r="E762" s="31">
        <v>135020</v>
      </c>
      <c r="F762" s="29"/>
      <c r="G762" s="32">
        <v>45441</v>
      </c>
      <c r="H762" s="29"/>
      <c r="I762" s="5" t="s">
        <v>28</v>
      </c>
      <c r="J762" s="5" t="s">
        <v>80</v>
      </c>
      <c r="K762" s="5"/>
    </row>
    <row r="763" spans="1:11" ht="18.75" customHeight="1" x14ac:dyDescent="0.3">
      <c r="A763" s="30">
        <v>781</v>
      </c>
      <c r="B763" s="29"/>
      <c r="C763" s="5" t="s">
        <v>40</v>
      </c>
      <c r="D763" s="7">
        <v>490</v>
      </c>
      <c r="E763" s="31">
        <v>130099</v>
      </c>
      <c r="F763" s="29"/>
      <c r="G763" s="32">
        <v>45443</v>
      </c>
      <c r="H763" s="29"/>
      <c r="I763" s="5" t="s">
        <v>28</v>
      </c>
      <c r="J763" s="5" t="s">
        <v>80</v>
      </c>
      <c r="K763" s="5"/>
    </row>
    <row r="764" spans="1:11" ht="18.75" customHeight="1" x14ac:dyDescent="0.3">
      <c r="A764" s="30">
        <v>782</v>
      </c>
      <c r="B764" s="29"/>
      <c r="C764" s="5" t="s">
        <v>40</v>
      </c>
      <c r="D764" s="7">
        <v>496</v>
      </c>
      <c r="E764" s="31">
        <v>135037</v>
      </c>
      <c r="F764" s="29"/>
      <c r="G764" s="32">
        <v>45443</v>
      </c>
      <c r="H764" s="29"/>
      <c r="I764" s="5" t="s">
        <v>28</v>
      </c>
      <c r="J764" s="5" t="s">
        <v>80</v>
      </c>
      <c r="K764" s="5"/>
    </row>
    <row r="765" spans="1:11" ht="18.75" customHeight="1" x14ac:dyDescent="0.3">
      <c r="A765" s="30">
        <v>783</v>
      </c>
      <c r="B765" s="29"/>
      <c r="C765" s="5" t="s">
        <v>40</v>
      </c>
      <c r="D765" s="7">
        <v>352</v>
      </c>
      <c r="E765" s="31">
        <v>135078</v>
      </c>
      <c r="F765" s="29"/>
      <c r="G765" s="32">
        <v>45444</v>
      </c>
      <c r="H765" s="29"/>
      <c r="I765" s="5" t="s">
        <v>28</v>
      </c>
      <c r="J765" s="5" t="s">
        <v>80</v>
      </c>
      <c r="K765" s="5"/>
    </row>
    <row r="766" spans="1:11" ht="18.75" customHeight="1" x14ac:dyDescent="0.3">
      <c r="A766" s="30">
        <v>784</v>
      </c>
      <c r="B766" s="29"/>
      <c r="C766" s="5" t="s">
        <v>40</v>
      </c>
      <c r="D766" s="7">
        <v>400</v>
      </c>
      <c r="E766" s="31">
        <v>130084</v>
      </c>
      <c r="F766" s="29"/>
      <c r="G766" s="32">
        <v>45439</v>
      </c>
      <c r="H766" s="29"/>
      <c r="I766" s="5" t="s">
        <v>15</v>
      </c>
      <c r="J766" s="5" t="s">
        <v>30</v>
      </c>
      <c r="K766" s="5"/>
    </row>
    <row r="767" spans="1:11" ht="18.75" customHeight="1" x14ac:dyDescent="0.3">
      <c r="A767" s="30">
        <v>785</v>
      </c>
      <c r="B767" s="29"/>
      <c r="C767" s="5" t="s">
        <v>40</v>
      </c>
      <c r="D767" s="7">
        <v>381</v>
      </c>
      <c r="E767" s="31">
        <v>135067</v>
      </c>
      <c r="F767" s="29"/>
      <c r="G767" s="32">
        <v>45439</v>
      </c>
      <c r="H767" s="29"/>
      <c r="I767" s="5" t="s">
        <v>15</v>
      </c>
      <c r="J767" s="5" t="s">
        <v>30</v>
      </c>
      <c r="K767" s="5"/>
    </row>
    <row r="768" spans="1:11" ht="18.75" customHeight="1" x14ac:dyDescent="0.3">
      <c r="A768" s="30">
        <v>786</v>
      </c>
      <c r="B768" s="29"/>
      <c r="C768" s="5" t="s">
        <v>40</v>
      </c>
      <c r="D768" s="7">
        <v>390</v>
      </c>
      <c r="E768" s="31">
        <v>135175</v>
      </c>
      <c r="F768" s="29"/>
      <c r="G768" s="32">
        <v>45440</v>
      </c>
      <c r="H768" s="29"/>
      <c r="I768" s="5" t="s">
        <v>15</v>
      </c>
      <c r="J768" s="5" t="s">
        <v>30</v>
      </c>
      <c r="K768" s="5"/>
    </row>
    <row r="769" spans="1:11" ht="18.75" customHeight="1" x14ac:dyDescent="0.3">
      <c r="A769" s="30">
        <v>787</v>
      </c>
      <c r="B769" s="29"/>
      <c r="C769" s="5" t="s">
        <v>40</v>
      </c>
      <c r="D769" s="7">
        <v>502</v>
      </c>
      <c r="E769" s="31">
        <v>135014</v>
      </c>
      <c r="F769" s="29"/>
      <c r="G769" s="32">
        <v>45440</v>
      </c>
      <c r="H769" s="29"/>
      <c r="I769" s="5" t="s">
        <v>15</v>
      </c>
      <c r="J769" s="5" t="s">
        <v>30</v>
      </c>
      <c r="K769" s="5"/>
    </row>
    <row r="770" spans="1:11" ht="18.75" customHeight="1" x14ac:dyDescent="0.3">
      <c r="A770" s="30">
        <v>788</v>
      </c>
      <c r="B770" s="29"/>
      <c r="C770" s="5" t="s">
        <v>40</v>
      </c>
      <c r="D770" s="7">
        <v>514</v>
      </c>
      <c r="E770" s="31">
        <v>135022</v>
      </c>
      <c r="F770" s="29"/>
      <c r="G770" s="32">
        <v>45441</v>
      </c>
      <c r="H770" s="29"/>
      <c r="I770" s="5" t="s">
        <v>15</v>
      </c>
      <c r="J770" s="5" t="s">
        <v>30</v>
      </c>
      <c r="K770" s="5"/>
    </row>
    <row r="771" spans="1:11" ht="18.75" customHeight="1" x14ac:dyDescent="0.3">
      <c r="A771" s="30">
        <v>789</v>
      </c>
      <c r="B771" s="29"/>
      <c r="C771" s="5" t="s">
        <v>40</v>
      </c>
      <c r="D771" s="7">
        <v>503</v>
      </c>
      <c r="E771" s="31">
        <v>135028</v>
      </c>
      <c r="F771" s="29"/>
      <c r="G771" s="32">
        <v>45442</v>
      </c>
      <c r="H771" s="29"/>
      <c r="I771" s="5" t="s">
        <v>15</v>
      </c>
      <c r="J771" s="5" t="s">
        <v>30</v>
      </c>
      <c r="K771" s="5"/>
    </row>
    <row r="772" spans="1:11" ht="18.75" customHeight="1" x14ac:dyDescent="0.3">
      <c r="A772" s="30">
        <v>790</v>
      </c>
      <c r="B772" s="29"/>
      <c r="C772" s="5" t="s">
        <v>40</v>
      </c>
      <c r="D772" s="7">
        <v>472</v>
      </c>
      <c r="E772" s="31">
        <v>130096</v>
      </c>
      <c r="F772" s="29"/>
      <c r="G772" s="32">
        <v>45442</v>
      </c>
      <c r="H772" s="29"/>
      <c r="I772" s="5" t="s">
        <v>15</v>
      </c>
      <c r="J772" s="5" t="s">
        <v>30</v>
      </c>
      <c r="K772" s="5"/>
    </row>
    <row r="773" spans="1:11" ht="18.75" customHeight="1" x14ac:dyDescent="0.3">
      <c r="A773" s="30">
        <v>791</v>
      </c>
      <c r="B773" s="29"/>
      <c r="C773" s="5" t="s">
        <v>40</v>
      </c>
      <c r="D773" s="7">
        <v>593</v>
      </c>
      <c r="E773" s="31">
        <v>135074</v>
      </c>
      <c r="F773" s="29"/>
      <c r="G773" s="32">
        <v>45443</v>
      </c>
      <c r="H773" s="29"/>
      <c r="I773" s="5" t="s">
        <v>15</v>
      </c>
      <c r="J773" s="5" t="s">
        <v>30</v>
      </c>
      <c r="K773" s="5"/>
    </row>
    <row r="774" spans="1:11" ht="18.75" customHeight="1" x14ac:dyDescent="0.3">
      <c r="A774" s="30">
        <v>792</v>
      </c>
      <c r="B774" s="29"/>
      <c r="C774" s="5" t="s">
        <v>40</v>
      </c>
      <c r="D774" s="7">
        <v>487</v>
      </c>
      <c r="E774" s="31">
        <v>135077</v>
      </c>
      <c r="F774" s="29"/>
      <c r="G774" s="32">
        <v>45444</v>
      </c>
      <c r="H774" s="29"/>
      <c r="I774" s="5" t="s">
        <v>15</v>
      </c>
      <c r="J774" s="5" t="s">
        <v>30</v>
      </c>
      <c r="K774" s="5"/>
    </row>
    <row r="775" spans="1:11" ht="18.75" customHeight="1" x14ac:dyDescent="0.3">
      <c r="A775" s="30">
        <v>793</v>
      </c>
      <c r="B775" s="29"/>
      <c r="C775" s="5" t="s">
        <v>40</v>
      </c>
      <c r="D775" s="7">
        <v>359</v>
      </c>
      <c r="E775" s="31">
        <v>135044</v>
      </c>
      <c r="F775" s="29"/>
      <c r="G775" s="32">
        <v>45444</v>
      </c>
      <c r="H775" s="29"/>
      <c r="I775" s="5" t="s">
        <v>15</v>
      </c>
      <c r="J775" s="5" t="s">
        <v>30</v>
      </c>
      <c r="K775" s="5"/>
    </row>
    <row r="776" spans="1:11" ht="18.75" customHeight="1" x14ac:dyDescent="0.3">
      <c r="A776" s="30">
        <v>794</v>
      </c>
      <c r="B776" s="29"/>
      <c r="C776" s="5" t="s">
        <v>14</v>
      </c>
      <c r="D776" s="7">
        <v>287</v>
      </c>
      <c r="E776" s="31">
        <v>20065</v>
      </c>
      <c r="F776" s="29"/>
      <c r="G776" s="32">
        <v>45439</v>
      </c>
      <c r="H776" s="29"/>
      <c r="I776" s="5" t="s">
        <v>69</v>
      </c>
      <c r="J776" s="5" t="s">
        <v>79</v>
      </c>
      <c r="K776" s="5" t="s">
        <v>82</v>
      </c>
    </row>
    <row r="777" spans="1:11" ht="18.75" customHeight="1" x14ac:dyDescent="0.3">
      <c r="A777" s="30">
        <v>795</v>
      </c>
      <c r="B777" s="29"/>
      <c r="C777" s="5" t="s">
        <v>14</v>
      </c>
      <c r="D777" s="7">
        <v>244</v>
      </c>
      <c r="E777" s="31">
        <v>20078</v>
      </c>
      <c r="F777" s="29"/>
      <c r="G777" s="32">
        <v>45440</v>
      </c>
      <c r="H777" s="29"/>
      <c r="I777" s="5" t="s">
        <v>69</v>
      </c>
      <c r="J777" s="5" t="s">
        <v>79</v>
      </c>
      <c r="K777" s="5" t="s">
        <v>82</v>
      </c>
    </row>
    <row r="778" spans="1:11" ht="18.75" customHeight="1" x14ac:dyDescent="0.3">
      <c r="A778" s="30">
        <v>796</v>
      </c>
      <c r="B778" s="29"/>
      <c r="C778" s="5" t="s">
        <v>14</v>
      </c>
      <c r="D778" s="7">
        <v>168</v>
      </c>
      <c r="E778" s="31">
        <v>20085</v>
      </c>
      <c r="F778" s="29"/>
      <c r="G778" s="32">
        <v>45441</v>
      </c>
      <c r="H778" s="29"/>
      <c r="I778" s="5" t="s">
        <v>69</v>
      </c>
      <c r="J778" s="5" t="s">
        <v>79</v>
      </c>
      <c r="K778" s="5" t="s">
        <v>82</v>
      </c>
    </row>
    <row r="779" spans="1:11" ht="18.75" customHeight="1" x14ac:dyDescent="0.3">
      <c r="A779" s="30">
        <v>797</v>
      </c>
      <c r="B779" s="29"/>
      <c r="C779" s="5" t="s">
        <v>14</v>
      </c>
      <c r="D779" s="7">
        <v>161</v>
      </c>
      <c r="E779" s="31">
        <v>20099</v>
      </c>
      <c r="F779" s="29"/>
      <c r="G779" s="32">
        <v>45442</v>
      </c>
      <c r="H779" s="29"/>
      <c r="I779" s="5" t="s">
        <v>69</v>
      </c>
      <c r="J779" s="5" t="s">
        <v>79</v>
      </c>
      <c r="K779" s="5" t="s">
        <v>82</v>
      </c>
    </row>
    <row r="780" spans="1:11" ht="18.75" customHeight="1" x14ac:dyDescent="0.3">
      <c r="A780" s="30">
        <v>798</v>
      </c>
      <c r="B780" s="29"/>
      <c r="C780" s="5" t="s">
        <v>14</v>
      </c>
      <c r="D780" s="7">
        <v>250</v>
      </c>
      <c r="E780" s="31">
        <v>20110</v>
      </c>
      <c r="F780" s="29"/>
      <c r="G780" s="32">
        <v>45443</v>
      </c>
      <c r="H780" s="29"/>
      <c r="I780" s="5" t="s">
        <v>69</v>
      </c>
      <c r="J780" s="5" t="s">
        <v>79</v>
      </c>
      <c r="K780" s="5" t="s">
        <v>82</v>
      </c>
    </row>
    <row r="781" spans="1:11" ht="18.75" customHeight="1" x14ac:dyDescent="0.3">
      <c r="A781" s="30">
        <v>799</v>
      </c>
      <c r="B781" s="29"/>
      <c r="C781" s="5" t="s">
        <v>14</v>
      </c>
      <c r="D781" s="7">
        <v>171</v>
      </c>
      <c r="E781" s="31">
        <v>20121</v>
      </c>
      <c r="F781" s="29"/>
      <c r="G781" s="32">
        <v>45444</v>
      </c>
      <c r="H781" s="29"/>
      <c r="I781" s="5" t="s">
        <v>69</v>
      </c>
      <c r="J781" s="5" t="s">
        <v>79</v>
      </c>
      <c r="K781" s="5" t="s">
        <v>82</v>
      </c>
    </row>
    <row r="782" spans="1:11" ht="18.75" customHeight="1" x14ac:dyDescent="0.3">
      <c r="A782" s="30">
        <v>800</v>
      </c>
      <c r="B782" s="29"/>
      <c r="C782" s="5" t="s">
        <v>14</v>
      </c>
      <c r="D782" s="7">
        <v>234</v>
      </c>
      <c r="E782" s="31">
        <v>20129</v>
      </c>
      <c r="F782" s="29"/>
      <c r="G782" s="32">
        <v>45445</v>
      </c>
      <c r="H782" s="29"/>
      <c r="I782" s="5" t="s">
        <v>69</v>
      </c>
      <c r="J782" s="5" t="s">
        <v>79</v>
      </c>
      <c r="K782" s="5" t="s">
        <v>82</v>
      </c>
    </row>
    <row r="783" spans="1:11" ht="18.75" customHeight="1" x14ac:dyDescent="0.3">
      <c r="A783" s="30">
        <v>801</v>
      </c>
      <c r="B783" s="29"/>
      <c r="C783" s="5" t="s">
        <v>14</v>
      </c>
      <c r="D783" s="7">
        <v>269</v>
      </c>
      <c r="E783" s="31">
        <v>20134</v>
      </c>
      <c r="F783" s="29"/>
      <c r="G783" s="32">
        <v>45446</v>
      </c>
      <c r="H783" s="29"/>
      <c r="I783" s="5" t="s">
        <v>69</v>
      </c>
      <c r="J783" s="5" t="s">
        <v>79</v>
      </c>
      <c r="K783" s="5" t="s">
        <v>82</v>
      </c>
    </row>
    <row r="784" spans="1:11" ht="18.75" customHeight="1" x14ac:dyDescent="0.3">
      <c r="A784" s="30">
        <v>802</v>
      </c>
      <c r="B784" s="29"/>
      <c r="C784" s="5" t="s">
        <v>14</v>
      </c>
      <c r="D784" s="7">
        <v>245</v>
      </c>
      <c r="E784" s="31">
        <v>20155</v>
      </c>
      <c r="F784" s="29"/>
      <c r="G784" s="32">
        <v>45447</v>
      </c>
      <c r="H784" s="29"/>
      <c r="I784" s="5" t="s">
        <v>69</v>
      </c>
      <c r="J784" s="5" t="s">
        <v>79</v>
      </c>
      <c r="K784" s="5" t="s">
        <v>82</v>
      </c>
    </row>
    <row r="785" spans="1:11" ht="18.75" customHeight="1" x14ac:dyDescent="0.3">
      <c r="A785" s="30">
        <v>803</v>
      </c>
      <c r="B785" s="29"/>
      <c r="C785" s="5" t="s">
        <v>14</v>
      </c>
      <c r="D785" s="7">
        <v>235</v>
      </c>
      <c r="E785" s="31">
        <v>20163</v>
      </c>
      <c r="F785" s="29"/>
      <c r="G785" s="32">
        <v>45448</v>
      </c>
      <c r="H785" s="29"/>
      <c r="I785" s="5" t="s">
        <v>69</v>
      </c>
      <c r="J785" s="5" t="s">
        <v>79</v>
      </c>
      <c r="K785" s="5" t="s">
        <v>82</v>
      </c>
    </row>
    <row r="786" spans="1:11" ht="18.75" customHeight="1" x14ac:dyDescent="0.3">
      <c r="A786" s="30">
        <v>804</v>
      </c>
      <c r="B786" s="29"/>
      <c r="C786" s="5" t="s">
        <v>14</v>
      </c>
      <c r="D786" s="7">
        <v>202</v>
      </c>
      <c r="E786" s="31">
        <v>20171</v>
      </c>
      <c r="F786" s="29"/>
      <c r="G786" s="32">
        <v>45449</v>
      </c>
      <c r="H786" s="29"/>
      <c r="I786" s="5" t="s">
        <v>69</v>
      </c>
      <c r="J786" s="5" t="s">
        <v>79</v>
      </c>
      <c r="K786" s="5" t="s">
        <v>82</v>
      </c>
    </row>
    <row r="787" spans="1:11" ht="18.75" customHeight="1" x14ac:dyDescent="0.3">
      <c r="A787" s="30">
        <v>805</v>
      </c>
      <c r="B787" s="29"/>
      <c r="C787" s="5" t="s">
        <v>14</v>
      </c>
      <c r="D787" s="7">
        <v>207</v>
      </c>
      <c r="E787" s="31">
        <v>20183</v>
      </c>
      <c r="F787" s="29"/>
      <c r="G787" s="32">
        <v>45450</v>
      </c>
      <c r="H787" s="29"/>
      <c r="I787" s="5" t="s">
        <v>69</v>
      </c>
      <c r="J787" s="5" t="s">
        <v>79</v>
      </c>
      <c r="K787" s="5" t="s">
        <v>82</v>
      </c>
    </row>
    <row r="788" spans="1:11" ht="18.75" customHeight="1" x14ac:dyDescent="0.3">
      <c r="A788" s="30">
        <v>806</v>
      </c>
      <c r="B788" s="29"/>
      <c r="C788" s="5" t="s">
        <v>14</v>
      </c>
      <c r="D788" s="7">
        <v>190</v>
      </c>
      <c r="E788" s="31">
        <v>20195</v>
      </c>
      <c r="F788" s="29"/>
      <c r="G788" s="32">
        <v>45451</v>
      </c>
      <c r="H788" s="29"/>
      <c r="I788" s="5" t="s">
        <v>69</v>
      </c>
      <c r="J788" s="5" t="s">
        <v>79</v>
      </c>
      <c r="K788" s="5" t="s">
        <v>82</v>
      </c>
    </row>
    <row r="789" spans="1:11" ht="18.75" customHeight="1" x14ac:dyDescent="0.3">
      <c r="A789" s="30">
        <v>807</v>
      </c>
      <c r="B789" s="29"/>
      <c r="C789" s="5" t="s">
        <v>14</v>
      </c>
      <c r="D789" s="7">
        <v>249</v>
      </c>
      <c r="E789" s="31">
        <v>20204</v>
      </c>
      <c r="F789" s="29"/>
      <c r="G789" s="32">
        <v>45452</v>
      </c>
      <c r="H789" s="29"/>
      <c r="I789" s="5" t="s">
        <v>69</v>
      </c>
      <c r="J789" s="5" t="s">
        <v>79</v>
      </c>
      <c r="K789" s="5" t="s">
        <v>82</v>
      </c>
    </row>
    <row r="790" spans="1:11" ht="18.75" customHeight="1" x14ac:dyDescent="0.3">
      <c r="A790" s="30">
        <v>808</v>
      </c>
      <c r="B790" s="29"/>
      <c r="C790" s="5" t="s">
        <v>14</v>
      </c>
      <c r="D790" s="7">
        <v>200</v>
      </c>
      <c r="E790" s="31">
        <v>97929</v>
      </c>
      <c r="F790" s="29"/>
      <c r="G790" s="32">
        <v>45451</v>
      </c>
      <c r="H790" s="29"/>
      <c r="I790" s="5" t="s">
        <v>69</v>
      </c>
      <c r="J790" s="5" t="s">
        <v>79</v>
      </c>
      <c r="K790" s="5" t="s">
        <v>82</v>
      </c>
    </row>
    <row r="791" spans="1:11" ht="18.75" customHeight="1" x14ac:dyDescent="0.3">
      <c r="A791" s="30">
        <v>809</v>
      </c>
      <c r="B791" s="29"/>
      <c r="C791" s="5" t="s">
        <v>14</v>
      </c>
      <c r="D791" s="7">
        <v>173</v>
      </c>
      <c r="E791" s="31">
        <v>97916</v>
      </c>
      <c r="F791" s="29"/>
      <c r="G791" s="32">
        <v>45450</v>
      </c>
      <c r="H791" s="29"/>
      <c r="I791" s="5" t="s">
        <v>69</v>
      </c>
      <c r="J791" s="5" t="s">
        <v>79</v>
      </c>
      <c r="K791" s="5" t="s">
        <v>82</v>
      </c>
    </row>
    <row r="792" spans="1:11" ht="18.75" customHeight="1" x14ac:dyDescent="0.3">
      <c r="A792" s="30">
        <v>810</v>
      </c>
      <c r="B792" s="29"/>
      <c r="C792" s="5" t="s">
        <v>40</v>
      </c>
      <c r="D792" s="7">
        <v>412</v>
      </c>
      <c r="E792" s="31">
        <v>135048</v>
      </c>
      <c r="F792" s="29"/>
      <c r="G792" s="32">
        <v>45446</v>
      </c>
      <c r="H792" s="29"/>
      <c r="I792" s="5" t="s">
        <v>15</v>
      </c>
      <c r="J792" s="5" t="s">
        <v>30</v>
      </c>
      <c r="K792" s="5"/>
    </row>
    <row r="793" spans="1:11" ht="18.75" customHeight="1" x14ac:dyDescent="0.3">
      <c r="A793" s="30">
        <v>811</v>
      </c>
      <c r="B793" s="29"/>
      <c r="C793" s="5" t="s">
        <v>40</v>
      </c>
      <c r="D793" s="7">
        <v>522</v>
      </c>
      <c r="E793" s="31">
        <v>130006</v>
      </c>
      <c r="F793" s="29"/>
      <c r="G793" s="32">
        <v>45446</v>
      </c>
      <c r="H793" s="29"/>
      <c r="I793" s="5" t="s">
        <v>15</v>
      </c>
      <c r="J793" s="5" t="s">
        <v>30</v>
      </c>
      <c r="K793" s="5"/>
    </row>
    <row r="794" spans="1:11" ht="18.75" customHeight="1" x14ac:dyDescent="0.3">
      <c r="A794" s="30">
        <v>812</v>
      </c>
      <c r="B794" s="29"/>
      <c r="C794" s="5" t="s">
        <v>40</v>
      </c>
      <c r="D794" s="7">
        <v>485</v>
      </c>
      <c r="E794" s="31">
        <v>131968</v>
      </c>
      <c r="F794" s="29"/>
      <c r="G794" s="32">
        <v>45446</v>
      </c>
      <c r="H794" s="29"/>
      <c r="I794" s="5" t="s">
        <v>28</v>
      </c>
      <c r="J794" s="5" t="s">
        <v>80</v>
      </c>
      <c r="K794" s="5"/>
    </row>
    <row r="795" spans="1:11" ht="18.75" customHeight="1" x14ac:dyDescent="0.3">
      <c r="A795" s="30">
        <v>813</v>
      </c>
      <c r="B795" s="29"/>
      <c r="C795" s="5" t="s">
        <v>40</v>
      </c>
      <c r="D795" s="7">
        <v>470</v>
      </c>
      <c r="E795" s="31">
        <v>130005</v>
      </c>
      <c r="F795" s="29"/>
      <c r="G795" s="32">
        <v>45446</v>
      </c>
      <c r="H795" s="29"/>
      <c r="I795" s="5" t="s">
        <v>28</v>
      </c>
      <c r="J795" s="5" t="s">
        <v>80</v>
      </c>
      <c r="K795" s="5"/>
    </row>
    <row r="796" spans="1:11" ht="18.75" customHeight="1" x14ac:dyDescent="0.3">
      <c r="A796" s="30">
        <v>814</v>
      </c>
      <c r="B796" s="29"/>
      <c r="C796" s="5" t="s">
        <v>40</v>
      </c>
      <c r="D796" s="7">
        <v>415</v>
      </c>
      <c r="E796" s="31">
        <v>135204</v>
      </c>
      <c r="F796" s="29"/>
      <c r="G796" s="32">
        <v>45447</v>
      </c>
      <c r="H796" s="29"/>
      <c r="I796" s="5" t="s">
        <v>15</v>
      </c>
      <c r="J796" s="5" t="s">
        <v>30</v>
      </c>
      <c r="K796" s="5"/>
    </row>
    <row r="797" spans="1:11" ht="18.75" customHeight="1" x14ac:dyDescent="0.3">
      <c r="A797" s="30">
        <v>815</v>
      </c>
      <c r="B797" s="29"/>
      <c r="C797" s="5" t="s">
        <v>40</v>
      </c>
      <c r="D797" s="7">
        <v>483</v>
      </c>
      <c r="E797" s="31">
        <v>130010</v>
      </c>
      <c r="F797" s="29"/>
      <c r="G797" s="32">
        <v>45447</v>
      </c>
      <c r="H797" s="29"/>
      <c r="I797" s="5" t="s">
        <v>15</v>
      </c>
      <c r="J797" s="5" t="s">
        <v>30</v>
      </c>
      <c r="K797" s="5"/>
    </row>
    <row r="798" spans="1:11" ht="18.75" customHeight="1" x14ac:dyDescent="0.3">
      <c r="A798" s="30">
        <v>816</v>
      </c>
      <c r="B798" s="29"/>
      <c r="C798" s="5" t="s">
        <v>40</v>
      </c>
      <c r="D798" s="7">
        <v>388</v>
      </c>
      <c r="E798" s="31">
        <v>131971</v>
      </c>
      <c r="F798" s="29"/>
      <c r="G798" s="32">
        <v>45447</v>
      </c>
      <c r="H798" s="29"/>
      <c r="I798" s="5" t="s">
        <v>28</v>
      </c>
      <c r="J798" s="5" t="s">
        <v>80</v>
      </c>
      <c r="K798" s="5"/>
    </row>
    <row r="799" spans="1:11" ht="18.75" customHeight="1" x14ac:dyDescent="0.3">
      <c r="A799" s="30">
        <v>817</v>
      </c>
      <c r="B799" s="29"/>
      <c r="C799" s="5" t="s">
        <v>40</v>
      </c>
      <c r="D799" s="7">
        <v>632</v>
      </c>
      <c r="E799" s="31">
        <v>135205</v>
      </c>
      <c r="F799" s="29"/>
      <c r="G799" s="32">
        <v>45447</v>
      </c>
      <c r="H799" s="29"/>
      <c r="I799" s="5" t="s">
        <v>28</v>
      </c>
      <c r="J799" s="5" t="s">
        <v>80</v>
      </c>
      <c r="K799" s="5"/>
    </row>
    <row r="800" spans="1:11" ht="18.75" customHeight="1" x14ac:dyDescent="0.3">
      <c r="A800" s="30">
        <v>818</v>
      </c>
      <c r="B800" s="29"/>
      <c r="C800" s="5" t="s">
        <v>40</v>
      </c>
      <c r="D800" s="7">
        <v>400</v>
      </c>
      <c r="E800" s="31">
        <v>135206</v>
      </c>
      <c r="F800" s="29"/>
      <c r="G800" s="32">
        <v>45448</v>
      </c>
      <c r="H800" s="29"/>
      <c r="I800" s="5" t="s">
        <v>15</v>
      </c>
      <c r="J800" s="5" t="s">
        <v>30</v>
      </c>
      <c r="K800" s="5"/>
    </row>
    <row r="801" spans="1:11" ht="18.75" customHeight="1" x14ac:dyDescent="0.3">
      <c r="A801" s="30">
        <v>819</v>
      </c>
      <c r="B801" s="29"/>
      <c r="C801" s="5" t="s">
        <v>40</v>
      </c>
      <c r="D801" s="7">
        <v>382</v>
      </c>
      <c r="E801" s="31">
        <v>130016</v>
      </c>
      <c r="F801" s="29"/>
      <c r="G801" s="32">
        <v>45448</v>
      </c>
      <c r="H801" s="29"/>
      <c r="I801" s="5" t="s">
        <v>28</v>
      </c>
      <c r="J801" s="5" t="s">
        <v>80</v>
      </c>
      <c r="K801" s="5"/>
    </row>
    <row r="802" spans="1:11" ht="18.75" customHeight="1" x14ac:dyDescent="0.3">
      <c r="A802" s="30">
        <v>820</v>
      </c>
      <c r="B802" s="29"/>
      <c r="C802" s="5" t="s">
        <v>40</v>
      </c>
      <c r="D802" s="7">
        <v>490</v>
      </c>
      <c r="E802" s="31">
        <v>130019</v>
      </c>
      <c r="F802" s="29"/>
      <c r="G802" s="32">
        <v>45449</v>
      </c>
      <c r="H802" s="29"/>
      <c r="I802" s="5" t="s">
        <v>15</v>
      </c>
      <c r="J802" s="5" t="s">
        <v>30</v>
      </c>
      <c r="K802" s="5"/>
    </row>
    <row r="803" spans="1:11" ht="18.75" customHeight="1" x14ac:dyDescent="0.3">
      <c r="A803" s="30">
        <v>821</v>
      </c>
      <c r="B803" s="29"/>
      <c r="C803" s="5" t="s">
        <v>40</v>
      </c>
      <c r="D803" s="7">
        <v>360</v>
      </c>
      <c r="E803" s="31">
        <v>135089</v>
      </c>
      <c r="F803" s="29"/>
      <c r="G803" s="32">
        <v>45449</v>
      </c>
      <c r="H803" s="29"/>
      <c r="I803" s="5" t="s">
        <v>15</v>
      </c>
      <c r="J803" s="5" t="s">
        <v>30</v>
      </c>
      <c r="K803" s="5"/>
    </row>
    <row r="804" spans="1:11" ht="18.75" customHeight="1" x14ac:dyDescent="0.3">
      <c r="A804" s="30">
        <v>822</v>
      </c>
      <c r="B804" s="29"/>
      <c r="C804" s="5" t="s">
        <v>40</v>
      </c>
      <c r="D804" s="7">
        <v>627</v>
      </c>
      <c r="E804" s="31">
        <v>135207</v>
      </c>
      <c r="F804" s="29"/>
      <c r="G804" s="32">
        <v>45448</v>
      </c>
      <c r="H804" s="29"/>
      <c r="I804" s="5" t="s">
        <v>28</v>
      </c>
      <c r="J804" s="5" t="s">
        <v>80</v>
      </c>
      <c r="K804" s="5"/>
    </row>
    <row r="805" spans="1:11" ht="18.75" customHeight="1" x14ac:dyDescent="0.3">
      <c r="A805" s="30">
        <v>823</v>
      </c>
      <c r="B805" s="29"/>
      <c r="C805" s="5" t="s">
        <v>40</v>
      </c>
      <c r="D805" s="7">
        <v>405</v>
      </c>
      <c r="E805" s="31">
        <v>135092</v>
      </c>
      <c r="F805" s="29"/>
      <c r="G805" s="32">
        <v>45449</v>
      </c>
      <c r="H805" s="29"/>
      <c r="I805" s="5" t="s">
        <v>28</v>
      </c>
      <c r="J805" s="5" t="s">
        <v>80</v>
      </c>
      <c r="K805" s="5"/>
    </row>
    <row r="806" spans="1:11" ht="18.75" customHeight="1" x14ac:dyDescent="0.3">
      <c r="A806" s="30">
        <v>824</v>
      </c>
      <c r="B806" s="29"/>
      <c r="C806" s="5" t="s">
        <v>40</v>
      </c>
      <c r="D806" s="7">
        <v>522</v>
      </c>
      <c r="E806" s="31">
        <v>130024</v>
      </c>
      <c r="F806" s="29"/>
      <c r="G806" s="32">
        <v>45450</v>
      </c>
      <c r="H806" s="29"/>
      <c r="I806" s="5" t="s">
        <v>15</v>
      </c>
      <c r="J806" s="5" t="s">
        <v>30</v>
      </c>
      <c r="K806" s="5"/>
    </row>
    <row r="807" spans="1:11" ht="18.75" customHeight="1" x14ac:dyDescent="0.3">
      <c r="A807" s="30">
        <v>825</v>
      </c>
      <c r="B807" s="29"/>
      <c r="C807" s="5" t="s">
        <v>40</v>
      </c>
      <c r="D807" s="7">
        <v>400</v>
      </c>
      <c r="E807" s="31">
        <v>135213</v>
      </c>
      <c r="F807" s="29"/>
      <c r="G807" s="32">
        <v>45450</v>
      </c>
      <c r="H807" s="29"/>
      <c r="I807" s="5" t="s">
        <v>28</v>
      </c>
      <c r="J807" s="5" t="s">
        <v>80</v>
      </c>
      <c r="K807" s="5"/>
    </row>
    <row r="808" spans="1:11" ht="18.75" customHeight="1" x14ac:dyDescent="0.3">
      <c r="A808" s="30">
        <v>826</v>
      </c>
      <c r="B808" s="29"/>
      <c r="C808" s="5" t="s">
        <v>40</v>
      </c>
      <c r="D808" s="7">
        <v>382</v>
      </c>
      <c r="E808" s="31">
        <v>135097</v>
      </c>
      <c r="F808" s="29"/>
      <c r="G808" s="32">
        <v>45450</v>
      </c>
      <c r="H808" s="29"/>
      <c r="I808" s="5" t="s">
        <v>28</v>
      </c>
      <c r="J808" s="5" t="s">
        <v>80</v>
      </c>
      <c r="K808" s="5"/>
    </row>
    <row r="809" spans="1:11" ht="18.75" customHeight="1" x14ac:dyDescent="0.3">
      <c r="A809" s="30">
        <v>827</v>
      </c>
      <c r="B809" s="29"/>
      <c r="C809" s="5" t="s">
        <v>40</v>
      </c>
      <c r="D809" s="7">
        <v>386</v>
      </c>
      <c r="E809" s="31">
        <v>135216</v>
      </c>
      <c r="F809" s="29"/>
      <c r="G809" s="32">
        <v>45451</v>
      </c>
      <c r="H809" s="29"/>
      <c r="I809" s="5" t="s">
        <v>15</v>
      </c>
      <c r="J809" s="5" t="s">
        <v>30</v>
      </c>
      <c r="K809" s="5"/>
    </row>
    <row r="810" spans="1:11" ht="18.75" customHeight="1" x14ac:dyDescent="0.3">
      <c r="A810" s="30">
        <v>828</v>
      </c>
      <c r="B810" s="29"/>
      <c r="C810" s="5" t="s">
        <v>40</v>
      </c>
      <c r="D810" s="7">
        <v>360</v>
      </c>
      <c r="E810" s="31">
        <v>131976</v>
      </c>
      <c r="F810" s="29"/>
      <c r="G810" s="32">
        <v>45451</v>
      </c>
      <c r="H810" s="29"/>
      <c r="I810" s="5" t="s">
        <v>28</v>
      </c>
      <c r="J810" s="5" t="s">
        <v>80</v>
      </c>
      <c r="K810" s="5"/>
    </row>
    <row r="811" spans="1:11" ht="18.75" customHeight="1" x14ac:dyDescent="0.3">
      <c r="A811" s="30">
        <v>829</v>
      </c>
      <c r="B811" s="29"/>
      <c r="C811" s="5" t="s">
        <v>14</v>
      </c>
      <c r="D811" s="7">
        <v>203</v>
      </c>
      <c r="E811" s="31">
        <v>20238</v>
      </c>
      <c r="F811" s="29"/>
      <c r="G811" s="32">
        <v>45454</v>
      </c>
      <c r="H811" s="29"/>
      <c r="I811" s="5" t="s">
        <v>69</v>
      </c>
      <c r="J811" s="5" t="s">
        <v>79</v>
      </c>
      <c r="K811" s="5" t="s">
        <v>82</v>
      </c>
    </row>
    <row r="812" spans="1:11" ht="18.75" customHeight="1" x14ac:dyDescent="0.3">
      <c r="A812" s="30">
        <v>830</v>
      </c>
      <c r="B812" s="29"/>
      <c r="C812" s="5" t="s">
        <v>14</v>
      </c>
      <c r="D812" s="7">
        <v>247</v>
      </c>
      <c r="E812" s="31">
        <v>20249</v>
      </c>
      <c r="F812" s="29"/>
      <c r="G812" s="32">
        <v>45455</v>
      </c>
      <c r="H812" s="29"/>
      <c r="I812" s="5" t="s">
        <v>69</v>
      </c>
      <c r="J812" s="5" t="s">
        <v>79</v>
      </c>
      <c r="K812" s="5" t="s">
        <v>82</v>
      </c>
    </row>
    <row r="813" spans="1:11" ht="18.75" customHeight="1" x14ac:dyDescent="0.3">
      <c r="A813" s="30">
        <v>831</v>
      </c>
      <c r="B813" s="29"/>
      <c r="C813" s="5" t="s">
        <v>14</v>
      </c>
      <c r="D813" s="7">
        <v>213</v>
      </c>
      <c r="E813" s="31">
        <v>20225</v>
      </c>
      <c r="F813" s="29"/>
      <c r="G813" s="32">
        <v>45456</v>
      </c>
      <c r="H813" s="29"/>
      <c r="I813" s="5" t="s">
        <v>69</v>
      </c>
      <c r="J813" s="5" t="s">
        <v>79</v>
      </c>
      <c r="K813" s="5" t="s">
        <v>82</v>
      </c>
    </row>
    <row r="814" spans="1:11" ht="18.75" customHeight="1" x14ac:dyDescent="0.3">
      <c r="A814" s="30">
        <v>832</v>
      </c>
      <c r="B814" s="29"/>
      <c r="C814" s="5" t="s">
        <v>14</v>
      </c>
      <c r="D814" s="7">
        <v>194</v>
      </c>
      <c r="E814" s="31">
        <v>20259</v>
      </c>
      <c r="F814" s="29"/>
      <c r="G814" s="32">
        <v>45457</v>
      </c>
      <c r="H814" s="29"/>
      <c r="I814" s="5" t="s">
        <v>69</v>
      </c>
      <c r="J814" s="5" t="s">
        <v>79</v>
      </c>
      <c r="K814" s="5" t="s">
        <v>82</v>
      </c>
    </row>
    <row r="815" spans="1:11" ht="18.75" customHeight="1" x14ac:dyDescent="0.3">
      <c r="A815" s="30">
        <v>833</v>
      </c>
      <c r="B815" s="29"/>
      <c r="C815" s="5" t="s">
        <v>14</v>
      </c>
      <c r="D815" s="7">
        <v>166</v>
      </c>
      <c r="E815" s="31">
        <v>20225</v>
      </c>
      <c r="F815" s="29"/>
      <c r="G815" s="32">
        <v>45458</v>
      </c>
      <c r="H815" s="29"/>
      <c r="I815" s="5" t="s">
        <v>69</v>
      </c>
      <c r="J815" s="5" t="s">
        <v>79</v>
      </c>
      <c r="K815" s="5" t="s">
        <v>82</v>
      </c>
    </row>
    <row r="816" spans="1:11" ht="18.75" customHeight="1" x14ac:dyDescent="0.3">
      <c r="A816" s="30">
        <v>834</v>
      </c>
      <c r="B816" s="29"/>
      <c r="C816" s="5" t="s">
        <v>14</v>
      </c>
      <c r="D816" s="7">
        <v>186</v>
      </c>
      <c r="E816" s="31">
        <v>20275</v>
      </c>
      <c r="F816" s="29"/>
      <c r="G816" s="32">
        <v>45459</v>
      </c>
      <c r="H816" s="29"/>
      <c r="I816" s="5" t="s">
        <v>69</v>
      </c>
      <c r="J816" s="5" t="s">
        <v>79</v>
      </c>
      <c r="K816" s="5" t="s">
        <v>82</v>
      </c>
    </row>
    <row r="817" spans="1:11" ht="18.75" customHeight="1" x14ac:dyDescent="0.3">
      <c r="A817" s="30">
        <v>835</v>
      </c>
      <c r="B817" s="29"/>
      <c r="C817" s="5" t="s">
        <v>40</v>
      </c>
      <c r="D817" s="7">
        <v>360</v>
      </c>
      <c r="E817" s="31">
        <v>135101</v>
      </c>
      <c r="F817" s="29"/>
      <c r="G817" s="32">
        <v>45453</v>
      </c>
      <c r="H817" s="29"/>
      <c r="I817" s="5" t="s">
        <v>15</v>
      </c>
      <c r="J817" s="5" t="s">
        <v>30</v>
      </c>
      <c r="K817" s="5"/>
    </row>
    <row r="818" spans="1:11" ht="18.75" customHeight="1" x14ac:dyDescent="0.3">
      <c r="A818" s="30">
        <v>836</v>
      </c>
      <c r="B818" s="29"/>
      <c r="C818" s="5" t="s">
        <v>40</v>
      </c>
      <c r="D818" s="7">
        <v>378</v>
      </c>
      <c r="E818" s="31">
        <v>130034</v>
      </c>
      <c r="F818" s="29"/>
      <c r="G818" s="32">
        <v>45454</v>
      </c>
      <c r="H818" s="29"/>
      <c r="I818" s="5" t="s">
        <v>15</v>
      </c>
      <c r="J818" s="5" t="s">
        <v>30</v>
      </c>
      <c r="K818" s="5"/>
    </row>
    <row r="819" spans="1:11" ht="18.75" customHeight="1" x14ac:dyDescent="0.3">
      <c r="A819" s="30">
        <v>837</v>
      </c>
      <c r="B819" s="29"/>
      <c r="C819" s="5" t="s">
        <v>40</v>
      </c>
      <c r="D819" s="7">
        <v>400</v>
      </c>
      <c r="E819" s="31">
        <v>130032</v>
      </c>
      <c r="F819" s="29"/>
      <c r="G819" s="32">
        <v>45454</v>
      </c>
      <c r="H819" s="29"/>
      <c r="I819" s="5" t="s">
        <v>15</v>
      </c>
      <c r="J819" s="5" t="s">
        <v>30</v>
      </c>
      <c r="K819" s="5"/>
    </row>
    <row r="820" spans="1:11" ht="18.75" customHeight="1" x14ac:dyDescent="0.3">
      <c r="A820" s="30">
        <v>838</v>
      </c>
      <c r="B820" s="29"/>
      <c r="C820" s="5" t="s">
        <v>40</v>
      </c>
      <c r="D820" s="7">
        <v>400</v>
      </c>
      <c r="E820" s="31">
        <v>130037</v>
      </c>
      <c r="F820" s="29"/>
      <c r="G820" s="32">
        <v>45455</v>
      </c>
      <c r="H820" s="29"/>
      <c r="I820" s="5" t="s">
        <v>15</v>
      </c>
      <c r="J820" s="5" t="s">
        <v>30</v>
      </c>
      <c r="K820" s="5"/>
    </row>
    <row r="821" spans="1:11" ht="18.75" customHeight="1" x14ac:dyDescent="0.3">
      <c r="A821" s="30">
        <v>839</v>
      </c>
      <c r="B821" s="29"/>
      <c r="C821" s="5" t="s">
        <v>40</v>
      </c>
      <c r="D821" s="7">
        <v>520</v>
      </c>
      <c r="E821" s="31">
        <v>135109</v>
      </c>
      <c r="F821" s="29"/>
      <c r="G821" s="32">
        <v>45456</v>
      </c>
      <c r="H821" s="29"/>
      <c r="I821" s="5" t="s">
        <v>15</v>
      </c>
      <c r="J821" s="5" t="s">
        <v>30</v>
      </c>
      <c r="K821" s="5"/>
    </row>
    <row r="822" spans="1:11" ht="18.75" customHeight="1" x14ac:dyDescent="0.3">
      <c r="A822" s="30">
        <v>840</v>
      </c>
      <c r="B822" s="29"/>
      <c r="C822" s="5" t="s">
        <v>40</v>
      </c>
      <c r="D822" s="7">
        <v>400</v>
      </c>
      <c r="E822" s="31">
        <v>130047</v>
      </c>
      <c r="F822" s="29"/>
      <c r="G822" s="32">
        <v>45457</v>
      </c>
      <c r="H822" s="29"/>
      <c r="I822" s="5" t="s">
        <v>15</v>
      </c>
      <c r="J822" s="5" t="s">
        <v>30</v>
      </c>
      <c r="K822" s="5"/>
    </row>
    <row r="823" spans="1:11" ht="18.75" customHeight="1" x14ac:dyDescent="0.3">
      <c r="A823" s="30">
        <v>841</v>
      </c>
      <c r="B823" s="29"/>
      <c r="C823" s="5" t="s">
        <v>40</v>
      </c>
      <c r="D823" s="7">
        <v>378</v>
      </c>
      <c r="E823" s="31">
        <v>130029</v>
      </c>
      <c r="F823" s="29"/>
      <c r="G823" s="32">
        <v>45392</v>
      </c>
      <c r="H823" s="29"/>
      <c r="I823" s="5" t="s">
        <v>28</v>
      </c>
      <c r="J823" s="5" t="s">
        <v>80</v>
      </c>
      <c r="K823" s="5"/>
    </row>
    <row r="824" spans="1:11" ht="18.75" customHeight="1" x14ac:dyDescent="0.3">
      <c r="A824" s="30">
        <v>842</v>
      </c>
      <c r="B824" s="29"/>
      <c r="C824" s="5" t="s">
        <v>40</v>
      </c>
      <c r="D824" s="7">
        <v>360</v>
      </c>
      <c r="E824" s="31">
        <v>135104</v>
      </c>
      <c r="F824" s="29"/>
      <c r="G824" s="32">
        <v>45393</v>
      </c>
      <c r="H824" s="29"/>
      <c r="I824" s="5" t="s">
        <v>28</v>
      </c>
      <c r="J824" s="5" t="s">
        <v>80</v>
      </c>
      <c r="K824" s="5"/>
    </row>
    <row r="825" spans="1:11" ht="18.75" customHeight="1" x14ac:dyDescent="0.3">
      <c r="A825" s="30">
        <v>843</v>
      </c>
      <c r="B825" s="29"/>
      <c r="C825" s="5" t="s">
        <v>40</v>
      </c>
      <c r="D825" s="7">
        <v>270</v>
      </c>
      <c r="E825" s="31">
        <v>135230</v>
      </c>
      <c r="F825" s="29"/>
      <c r="G825" s="32">
        <v>45393</v>
      </c>
      <c r="H825" s="29"/>
      <c r="I825" s="5" t="s">
        <v>28</v>
      </c>
      <c r="J825" s="5" t="s">
        <v>80</v>
      </c>
      <c r="K825" s="5"/>
    </row>
    <row r="826" spans="1:11" ht="18.75" customHeight="1" x14ac:dyDescent="0.3">
      <c r="A826" s="30">
        <v>844</v>
      </c>
      <c r="B826" s="29"/>
      <c r="C826" s="5" t="s">
        <v>40</v>
      </c>
      <c r="D826" s="7">
        <v>520</v>
      </c>
      <c r="E826" s="31">
        <v>135110</v>
      </c>
      <c r="F826" s="29"/>
      <c r="G826" s="32">
        <v>45456</v>
      </c>
      <c r="H826" s="29"/>
      <c r="I826" s="5" t="s">
        <v>28</v>
      </c>
      <c r="J826" s="5" t="s">
        <v>80</v>
      </c>
      <c r="K826" s="5"/>
    </row>
    <row r="827" spans="1:11" ht="18.75" customHeight="1" x14ac:dyDescent="0.3">
      <c r="A827" s="30">
        <v>845</v>
      </c>
      <c r="B827" s="29"/>
      <c r="C827" s="5" t="s">
        <v>40</v>
      </c>
      <c r="D827" s="7">
        <v>330</v>
      </c>
      <c r="E827" s="31">
        <v>135113</v>
      </c>
      <c r="F827" s="29"/>
      <c r="G827" s="32">
        <v>45457</v>
      </c>
      <c r="H827" s="29"/>
      <c r="I827" s="5" t="s">
        <v>28</v>
      </c>
      <c r="J827" s="5" t="s">
        <v>80</v>
      </c>
      <c r="K827" s="5"/>
    </row>
    <row r="828" spans="1:11" ht="18.75" customHeight="1" x14ac:dyDescent="0.3">
      <c r="A828" s="30">
        <v>846</v>
      </c>
      <c r="B828" s="29"/>
      <c r="C828" s="5" t="s">
        <v>40</v>
      </c>
      <c r="D828" s="7">
        <v>470</v>
      </c>
      <c r="E828" s="31">
        <v>93299</v>
      </c>
      <c r="F828" s="29"/>
      <c r="G828" s="32">
        <v>45457</v>
      </c>
      <c r="H828" s="29"/>
      <c r="I828" s="5" t="s">
        <v>28</v>
      </c>
      <c r="J828" s="5" t="s">
        <v>80</v>
      </c>
      <c r="K828" s="5"/>
    </row>
    <row r="829" spans="1:11" ht="18.75" customHeight="1" x14ac:dyDescent="0.3">
      <c r="A829" s="30">
        <v>847</v>
      </c>
      <c r="B829" s="29"/>
      <c r="C829" s="5" t="s">
        <v>14</v>
      </c>
      <c r="D829" s="7">
        <v>275</v>
      </c>
      <c r="E829" s="31">
        <v>20294</v>
      </c>
      <c r="F829" s="29"/>
      <c r="G829" s="32">
        <v>45460</v>
      </c>
      <c r="H829" s="29"/>
      <c r="I829" s="5" t="s">
        <v>69</v>
      </c>
      <c r="J829" s="5" t="s">
        <v>79</v>
      </c>
      <c r="K829" s="5" t="s">
        <v>82</v>
      </c>
    </row>
    <row r="830" spans="1:11" ht="18.75" customHeight="1" x14ac:dyDescent="0.3">
      <c r="A830" s="30">
        <v>848</v>
      </c>
      <c r="B830" s="29"/>
      <c r="C830" s="5" t="s">
        <v>14</v>
      </c>
      <c r="D830" s="7">
        <v>214</v>
      </c>
      <c r="E830" s="31">
        <v>20304</v>
      </c>
      <c r="F830" s="29"/>
      <c r="G830" s="32">
        <v>45461</v>
      </c>
      <c r="H830" s="29"/>
      <c r="I830" s="5" t="s">
        <v>69</v>
      </c>
      <c r="J830" s="5" t="s">
        <v>79</v>
      </c>
      <c r="K830" s="5" t="s">
        <v>82</v>
      </c>
    </row>
    <row r="831" spans="1:11" ht="18.75" customHeight="1" x14ac:dyDescent="0.3">
      <c r="A831" s="30">
        <v>849</v>
      </c>
      <c r="B831" s="29"/>
      <c r="C831" s="5" t="s">
        <v>14</v>
      </c>
      <c r="D831" s="7">
        <v>179</v>
      </c>
      <c r="E831" s="31">
        <v>20311</v>
      </c>
      <c r="F831" s="29"/>
      <c r="G831" s="32">
        <v>45462</v>
      </c>
      <c r="H831" s="29"/>
      <c r="I831" s="5" t="s">
        <v>69</v>
      </c>
      <c r="J831" s="5" t="s">
        <v>79</v>
      </c>
      <c r="K831" s="5" t="s">
        <v>82</v>
      </c>
    </row>
    <row r="832" spans="1:11" ht="18.75" customHeight="1" x14ac:dyDescent="0.3">
      <c r="A832" s="30">
        <v>850</v>
      </c>
      <c r="B832" s="29"/>
      <c r="C832" s="5" t="s">
        <v>14</v>
      </c>
      <c r="D832" s="7">
        <v>188</v>
      </c>
      <c r="E832" s="31">
        <v>20325</v>
      </c>
      <c r="F832" s="29"/>
      <c r="G832" s="32">
        <v>45463</v>
      </c>
      <c r="H832" s="29"/>
      <c r="I832" s="5" t="s">
        <v>69</v>
      </c>
      <c r="J832" s="5" t="s">
        <v>79</v>
      </c>
      <c r="K832" s="5" t="s">
        <v>82</v>
      </c>
    </row>
    <row r="833" spans="1:11" ht="18.75" customHeight="1" x14ac:dyDescent="0.3">
      <c r="A833" s="30">
        <v>851</v>
      </c>
      <c r="B833" s="29"/>
      <c r="C833" s="5" t="s">
        <v>14</v>
      </c>
      <c r="D833" s="7">
        <v>165</v>
      </c>
      <c r="E833" s="31">
        <v>20331</v>
      </c>
      <c r="F833" s="29"/>
      <c r="G833" s="32">
        <v>45464</v>
      </c>
      <c r="H833" s="29"/>
      <c r="I833" s="5" t="s">
        <v>69</v>
      </c>
      <c r="J833" s="5" t="s">
        <v>79</v>
      </c>
      <c r="K833" s="5" t="s">
        <v>82</v>
      </c>
    </row>
    <row r="834" spans="1:11" ht="18.75" customHeight="1" x14ac:dyDescent="0.3">
      <c r="A834" s="30">
        <v>852</v>
      </c>
      <c r="B834" s="29"/>
      <c r="C834" s="5" t="s">
        <v>14</v>
      </c>
      <c r="D834" s="7">
        <v>164</v>
      </c>
      <c r="E834" s="31">
        <v>20346</v>
      </c>
      <c r="F834" s="29"/>
      <c r="G834" s="32">
        <v>45465</v>
      </c>
      <c r="H834" s="29"/>
      <c r="I834" s="5" t="s">
        <v>69</v>
      </c>
      <c r="J834" s="5" t="s">
        <v>79</v>
      </c>
      <c r="K834" s="5" t="s">
        <v>82</v>
      </c>
    </row>
    <row r="835" spans="1:11" ht="18.75" customHeight="1" x14ac:dyDescent="0.3">
      <c r="A835" s="30">
        <v>853</v>
      </c>
      <c r="B835" s="29"/>
      <c r="C835" s="5" t="s">
        <v>14</v>
      </c>
      <c r="D835" s="7">
        <v>198</v>
      </c>
      <c r="E835" s="31">
        <v>20358</v>
      </c>
      <c r="F835" s="29"/>
      <c r="G835" s="32">
        <v>45466</v>
      </c>
      <c r="H835" s="29"/>
      <c r="I835" s="5" t="s">
        <v>69</v>
      </c>
      <c r="J835" s="5" t="s">
        <v>79</v>
      </c>
      <c r="K835" s="5" t="s">
        <v>82</v>
      </c>
    </row>
    <row r="836" spans="1:11" ht="18.75" customHeight="1" x14ac:dyDescent="0.3">
      <c r="A836" s="30">
        <v>854</v>
      </c>
      <c r="B836" s="29"/>
      <c r="C836" s="5" t="s">
        <v>40</v>
      </c>
      <c r="D836" s="7">
        <v>360</v>
      </c>
      <c r="E836" s="31">
        <v>135237</v>
      </c>
      <c r="F836" s="29"/>
      <c r="G836" s="32">
        <v>45461</v>
      </c>
      <c r="H836" s="29"/>
      <c r="I836" s="5" t="s">
        <v>15</v>
      </c>
      <c r="J836" s="5" t="s">
        <v>30</v>
      </c>
      <c r="K836" s="5"/>
    </row>
    <row r="837" spans="1:11" ht="18.75" customHeight="1" x14ac:dyDescent="0.3">
      <c r="A837" s="30">
        <v>855</v>
      </c>
      <c r="B837" s="29"/>
      <c r="C837" s="5" t="s">
        <v>40</v>
      </c>
      <c r="D837" s="7">
        <v>500</v>
      </c>
      <c r="E837" s="31">
        <v>135451</v>
      </c>
      <c r="F837" s="29"/>
      <c r="G837" s="32">
        <v>45462</v>
      </c>
      <c r="H837" s="29"/>
      <c r="I837" s="5" t="s">
        <v>15</v>
      </c>
      <c r="J837" s="5" t="s">
        <v>30</v>
      </c>
      <c r="K837" s="5"/>
    </row>
    <row r="838" spans="1:11" ht="18.75" customHeight="1" x14ac:dyDescent="0.3">
      <c r="A838" s="30">
        <v>856</v>
      </c>
      <c r="B838" s="29"/>
      <c r="C838" s="5" t="s">
        <v>40</v>
      </c>
      <c r="D838" s="7">
        <v>383</v>
      </c>
      <c r="E838" s="31">
        <v>135455</v>
      </c>
      <c r="F838" s="29"/>
      <c r="G838" s="32">
        <v>45463</v>
      </c>
      <c r="H838" s="29"/>
      <c r="I838" s="5" t="s">
        <v>15</v>
      </c>
      <c r="J838" s="5" t="s">
        <v>30</v>
      </c>
      <c r="K838" s="5"/>
    </row>
    <row r="839" spans="1:11" ht="18.75" customHeight="1" x14ac:dyDescent="0.3">
      <c r="A839" s="30">
        <v>857</v>
      </c>
      <c r="B839" s="29"/>
      <c r="C839" s="5" t="s">
        <v>40</v>
      </c>
      <c r="D839" s="7">
        <v>360</v>
      </c>
      <c r="E839" s="31">
        <v>135441</v>
      </c>
      <c r="F839" s="29"/>
      <c r="G839" s="32">
        <v>45464</v>
      </c>
      <c r="H839" s="29"/>
      <c r="I839" s="5" t="s">
        <v>15</v>
      </c>
      <c r="J839" s="5" t="s">
        <v>30</v>
      </c>
      <c r="K839" s="5"/>
    </row>
    <row r="840" spans="1:11" ht="18.75" customHeight="1" x14ac:dyDescent="0.3">
      <c r="A840" s="30">
        <v>858</v>
      </c>
      <c r="B840" s="29"/>
      <c r="C840" s="5" t="s">
        <v>40</v>
      </c>
      <c r="D840" s="7">
        <v>570</v>
      </c>
      <c r="E840" s="31">
        <v>135251</v>
      </c>
      <c r="F840" s="29"/>
      <c r="G840" s="32">
        <v>45465</v>
      </c>
      <c r="H840" s="29"/>
      <c r="I840" s="5" t="s">
        <v>15</v>
      </c>
      <c r="J840" s="5" t="s">
        <v>30</v>
      </c>
      <c r="K840" s="5"/>
    </row>
    <row r="841" spans="1:11" ht="18.75" customHeight="1" x14ac:dyDescent="0.3">
      <c r="A841" s="30">
        <v>859</v>
      </c>
      <c r="B841" s="29"/>
      <c r="C841" s="5" t="s">
        <v>40</v>
      </c>
      <c r="D841" s="7">
        <v>520</v>
      </c>
      <c r="E841" s="31">
        <v>135117</v>
      </c>
      <c r="F841" s="29"/>
      <c r="G841" s="32">
        <v>45461</v>
      </c>
      <c r="H841" s="29"/>
      <c r="I841" s="5" t="s">
        <v>28</v>
      </c>
      <c r="J841" s="5" t="s">
        <v>80</v>
      </c>
      <c r="K841" s="5"/>
    </row>
    <row r="842" spans="1:11" ht="18.75" customHeight="1" x14ac:dyDescent="0.3">
      <c r="A842" s="30">
        <v>860</v>
      </c>
      <c r="B842" s="29"/>
      <c r="C842" s="5" t="s">
        <v>40</v>
      </c>
      <c r="D842" s="7">
        <v>401</v>
      </c>
      <c r="E842" s="31">
        <v>135120</v>
      </c>
      <c r="F842" s="29"/>
      <c r="G842" s="32">
        <v>45462</v>
      </c>
      <c r="H842" s="29"/>
      <c r="I842" s="5" t="s">
        <v>28</v>
      </c>
      <c r="J842" s="5" t="s">
        <v>80</v>
      </c>
      <c r="K842" s="5"/>
    </row>
    <row r="843" spans="1:11" ht="18.75" customHeight="1" x14ac:dyDescent="0.3">
      <c r="A843" s="30">
        <v>861</v>
      </c>
      <c r="B843" s="29"/>
      <c r="C843" s="5" t="s">
        <v>40</v>
      </c>
      <c r="D843" s="7">
        <v>520</v>
      </c>
      <c r="E843" s="31">
        <v>135123</v>
      </c>
      <c r="F843" s="29"/>
      <c r="G843" s="32">
        <v>45463</v>
      </c>
      <c r="H843" s="29"/>
      <c r="I843" s="5" t="s">
        <v>28</v>
      </c>
      <c r="J843" s="5" t="s">
        <v>80</v>
      </c>
      <c r="K843" s="5"/>
    </row>
    <row r="844" spans="1:11" ht="18.75" customHeight="1" x14ac:dyDescent="0.3">
      <c r="A844" s="30">
        <v>862</v>
      </c>
      <c r="B844" s="29"/>
      <c r="C844" s="5" t="s">
        <v>40</v>
      </c>
      <c r="D844" s="7">
        <v>414</v>
      </c>
      <c r="E844" s="31">
        <v>135458</v>
      </c>
      <c r="F844" s="29"/>
      <c r="G844" s="32">
        <v>45464</v>
      </c>
      <c r="H844" s="29"/>
      <c r="I844" s="5" t="s">
        <v>28</v>
      </c>
      <c r="J844" s="5" t="s">
        <v>80</v>
      </c>
      <c r="K844" s="5"/>
    </row>
    <row r="845" spans="1:11" ht="18.75" customHeight="1" x14ac:dyDescent="0.3">
      <c r="A845" s="30">
        <v>863</v>
      </c>
      <c r="B845" s="29"/>
      <c r="C845" s="5" t="s">
        <v>14</v>
      </c>
      <c r="D845" s="7">
        <v>272</v>
      </c>
      <c r="E845" s="31">
        <v>20366</v>
      </c>
      <c r="F845" s="29"/>
      <c r="G845" s="32">
        <v>45467</v>
      </c>
      <c r="H845" s="29"/>
      <c r="I845" s="5" t="s">
        <v>69</v>
      </c>
      <c r="J845" s="5" t="s">
        <v>79</v>
      </c>
      <c r="K845" s="5" t="s">
        <v>82</v>
      </c>
    </row>
    <row r="846" spans="1:11" ht="18.75" customHeight="1" x14ac:dyDescent="0.3">
      <c r="A846" s="30">
        <v>864</v>
      </c>
      <c r="B846" s="29"/>
      <c r="C846" s="5" t="s">
        <v>14</v>
      </c>
      <c r="D846" s="7">
        <v>233</v>
      </c>
      <c r="E846" s="31">
        <v>20381</v>
      </c>
      <c r="F846" s="29"/>
      <c r="G846" s="32">
        <v>45468</v>
      </c>
      <c r="H846" s="29"/>
      <c r="I846" s="5" t="s">
        <v>69</v>
      </c>
      <c r="J846" s="5" t="s">
        <v>79</v>
      </c>
      <c r="K846" s="5" t="s">
        <v>82</v>
      </c>
    </row>
    <row r="847" spans="1:11" ht="18.75" customHeight="1" x14ac:dyDescent="0.3">
      <c r="A847" s="30">
        <v>865</v>
      </c>
      <c r="B847" s="29"/>
      <c r="C847" s="5" t="s">
        <v>14</v>
      </c>
      <c r="D847" s="7">
        <v>168</v>
      </c>
      <c r="E847" s="31">
        <v>20389</v>
      </c>
      <c r="F847" s="29"/>
      <c r="G847" s="32">
        <v>45469</v>
      </c>
      <c r="H847" s="29"/>
      <c r="I847" s="5" t="s">
        <v>69</v>
      </c>
      <c r="J847" s="5" t="s">
        <v>79</v>
      </c>
      <c r="K847" s="5" t="s">
        <v>82</v>
      </c>
    </row>
    <row r="848" spans="1:11" ht="18.75" customHeight="1" x14ac:dyDescent="0.3">
      <c r="A848" s="30">
        <v>866</v>
      </c>
      <c r="B848" s="29"/>
      <c r="C848" s="5" t="s">
        <v>14</v>
      </c>
      <c r="D848" s="7">
        <v>182</v>
      </c>
      <c r="E848" s="31">
        <v>20403</v>
      </c>
      <c r="F848" s="29"/>
      <c r="G848" s="32">
        <v>45470</v>
      </c>
      <c r="H848" s="29"/>
      <c r="I848" s="5" t="s">
        <v>69</v>
      </c>
      <c r="J848" s="5" t="s">
        <v>79</v>
      </c>
      <c r="K848" s="5" t="s">
        <v>82</v>
      </c>
    </row>
    <row r="849" spans="1:11" ht="18.75" customHeight="1" x14ac:dyDescent="0.3">
      <c r="A849" s="30">
        <v>867</v>
      </c>
      <c r="B849" s="29"/>
      <c r="C849" s="5" t="s">
        <v>14</v>
      </c>
      <c r="D849" s="7">
        <v>163</v>
      </c>
      <c r="E849" s="31">
        <v>20416</v>
      </c>
      <c r="F849" s="29"/>
      <c r="G849" s="32">
        <v>45471</v>
      </c>
      <c r="H849" s="29"/>
      <c r="I849" s="5" t="s">
        <v>69</v>
      </c>
      <c r="J849" s="5" t="s">
        <v>79</v>
      </c>
      <c r="K849" s="5" t="s">
        <v>82</v>
      </c>
    </row>
    <row r="850" spans="1:11" ht="18.75" customHeight="1" x14ac:dyDescent="0.3">
      <c r="A850" s="30">
        <v>868</v>
      </c>
      <c r="B850" s="29"/>
      <c r="C850" s="5" t="s">
        <v>14</v>
      </c>
      <c r="D850" s="7">
        <v>242</v>
      </c>
      <c r="E850" s="31">
        <v>20457</v>
      </c>
      <c r="F850" s="29"/>
      <c r="G850" s="32">
        <v>45472</v>
      </c>
      <c r="H850" s="29"/>
      <c r="I850" s="5" t="s">
        <v>69</v>
      </c>
      <c r="J850" s="5" t="s">
        <v>79</v>
      </c>
      <c r="K850" s="5" t="s">
        <v>82</v>
      </c>
    </row>
    <row r="851" spans="1:11" ht="18.75" customHeight="1" x14ac:dyDescent="0.3">
      <c r="A851" s="30">
        <v>869</v>
      </c>
      <c r="B851" s="29"/>
      <c r="C851" s="5" t="s">
        <v>14</v>
      </c>
      <c r="D851" s="7">
        <v>234</v>
      </c>
      <c r="E851" s="31">
        <v>20425</v>
      </c>
      <c r="F851" s="29"/>
      <c r="G851" s="32">
        <v>45473</v>
      </c>
      <c r="H851" s="29"/>
      <c r="I851" s="5" t="s">
        <v>69</v>
      </c>
      <c r="J851" s="5" t="s">
        <v>79</v>
      </c>
      <c r="K851" s="5" t="s">
        <v>82</v>
      </c>
    </row>
    <row r="852" spans="1:11" ht="18.75" customHeight="1" x14ac:dyDescent="0.3">
      <c r="A852" s="30">
        <v>870</v>
      </c>
      <c r="B852" s="29"/>
      <c r="C852" s="5" t="s">
        <v>40</v>
      </c>
      <c r="D852" s="7">
        <v>388</v>
      </c>
      <c r="E852" s="31">
        <v>135464</v>
      </c>
      <c r="F852" s="29"/>
      <c r="G852" s="32">
        <v>45467</v>
      </c>
      <c r="H852" s="29"/>
      <c r="I852" s="5" t="s">
        <v>15</v>
      </c>
      <c r="J852" s="5" t="s">
        <v>30</v>
      </c>
      <c r="K852" s="5"/>
    </row>
    <row r="853" spans="1:11" ht="18.75" customHeight="1" x14ac:dyDescent="0.3">
      <c r="A853" s="30">
        <v>871</v>
      </c>
      <c r="B853" s="29"/>
      <c r="C853" s="5" t="s">
        <v>40</v>
      </c>
      <c r="D853" s="7">
        <v>574</v>
      </c>
      <c r="E853" s="31">
        <v>135255</v>
      </c>
      <c r="F853" s="29"/>
      <c r="G853" s="32">
        <v>45468</v>
      </c>
      <c r="H853" s="29"/>
      <c r="I853" s="5" t="s">
        <v>15</v>
      </c>
      <c r="J853" s="5" t="s">
        <v>30</v>
      </c>
      <c r="K853" s="5"/>
    </row>
    <row r="854" spans="1:11" ht="18.75" customHeight="1" x14ac:dyDescent="0.3">
      <c r="A854" s="30">
        <v>872</v>
      </c>
      <c r="B854" s="29"/>
      <c r="C854" s="5" t="s">
        <v>40</v>
      </c>
      <c r="D854" s="7">
        <v>670</v>
      </c>
      <c r="E854" s="31">
        <v>135134</v>
      </c>
      <c r="F854" s="29"/>
      <c r="G854" s="32">
        <v>45469</v>
      </c>
      <c r="H854" s="29"/>
      <c r="I854" s="5" t="s">
        <v>15</v>
      </c>
      <c r="J854" s="5" t="s">
        <v>30</v>
      </c>
      <c r="K854" s="5"/>
    </row>
    <row r="855" spans="1:11" ht="18.75" customHeight="1" x14ac:dyDescent="0.3">
      <c r="A855" s="30">
        <v>873</v>
      </c>
      <c r="B855" s="29"/>
      <c r="C855" s="5" t="s">
        <v>40</v>
      </c>
      <c r="D855" s="7">
        <v>382</v>
      </c>
      <c r="E855" s="31">
        <v>135475</v>
      </c>
      <c r="F855" s="29"/>
      <c r="G855" s="32">
        <v>45470</v>
      </c>
      <c r="H855" s="29"/>
      <c r="I855" s="5" t="s">
        <v>15</v>
      </c>
      <c r="J855" s="5" t="s">
        <v>30</v>
      </c>
      <c r="K855" s="5"/>
    </row>
    <row r="856" spans="1:11" ht="18.75" customHeight="1" x14ac:dyDescent="0.3">
      <c r="A856" s="30">
        <v>874</v>
      </c>
      <c r="B856" s="29"/>
      <c r="C856" s="5" t="s">
        <v>40</v>
      </c>
      <c r="D856" s="7">
        <v>520</v>
      </c>
      <c r="E856" s="31">
        <v>136602</v>
      </c>
      <c r="F856" s="29"/>
      <c r="G856" s="32">
        <v>45471</v>
      </c>
      <c r="H856" s="29"/>
      <c r="I856" s="5" t="s">
        <v>15</v>
      </c>
      <c r="J856" s="5" t="s">
        <v>30</v>
      </c>
      <c r="K856" s="5"/>
    </row>
    <row r="857" spans="1:11" ht="18.75" customHeight="1" x14ac:dyDescent="0.3">
      <c r="A857" s="30">
        <v>875</v>
      </c>
      <c r="B857" s="29"/>
      <c r="C857" s="5" t="s">
        <v>40</v>
      </c>
      <c r="D857" s="7">
        <v>450</v>
      </c>
      <c r="E857" s="31">
        <v>135129</v>
      </c>
      <c r="F857" s="29"/>
      <c r="G857" s="32">
        <v>45467</v>
      </c>
      <c r="H857" s="29"/>
      <c r="I857" s="5" t="s">
        <v>28</v>
      </c>
      <c r="J857" s="5" t="s">
        <v>80</v>
      </c>
      <c r="K857" s="5"/>
    </row>
    <row r="858" spans="1:11" ht="18.75" customHeight="1" x14ac:dyDescent="0.3">
      <c r="A858" s="30">
        <v>876</v>
      </c>
      <c r="B858" s="29"/>
      <c r="C858" s="5" t="s">
        <v>40</v>
      </c>
      <c r="D858" s="7">
        <v>400</v>
      </c>
      <c r="E858" s="31">
        <v>135131</v>
      </c>
      <c r="F858" s="29"/>
      <c r="G858" s="32">
        <v>45468</v>
      </c>
      <c r="H858" s="29"/>
      <c r="I858" s="5" t="s">
        <v>28</v>
      </c>
      <c r="J858" s="5" t="s">
        <v>80</v>
      </c>
      <c r="K858" s="5"/>
    </row>
    <row r="859" spans="1:11" ht="18.75" customHeight="1" x14ac:dyDescent="0.3">
      <c r="A859" s="30">
        <v>877</v>
      </c>
      <c r="B859" s="29"/>
      <c r="C859" s="5" t="s">
        <v>40</v>
      </c>
      <c r="D859" s="7">
        <v>378</v>
      </c>
      <c r="E859" s="31">
        <v>135471</v>
      </c>
      <c r="F859" s="29"/>
      <c r="G859" s="32">
        <v>45469</v>
      </c>
      <c r="H859" s="29"/>
      <c r="I859" s="5" t="s">
        <v>28</v>
      </c>
      <c r="J859" s="5" t="s">
        <v>80</v>
      </c>
      <c r="K859" s="5"/>
    </row>
    <row r="860" spans="1:11" ht="18.75" customHeight="1" x14ac:dyDescent="0.3">
      <c r="A860" s="30">
        <v>878</v>
      </c>
      <c r="B860" s="29"/>
      <c r="C860" s="5" t="s">
        <v>40</v>
      </c>
      <c r="D860" s="7">
        <v>520</v>
      </c>
      <c r="E860" s="31">
        <v>135141</v>
      </c>
      <c r="F860" s="29"/>
      <c r="G860" s="32">
        <v>45470</v>
      </c>
      <c r="H860" s="29"/>
      <c r="I860" s="5" t="s">
        <v>28</v>
      </c>
      <c r="J860" s="5" t="s">
        <v>80</v>
      </c>
      <c r="K860" s="5"/>
    </row>
    <row r="861" spans="1:11" ht="18.75" customHeight="1" x14ac:dyDescent="0.3">
      <c r="A861" s="30">
        <v>879</v>
      </c>
      <c r="B861" s="29"/>
      <c r="C861" s="5" t="s">
        <v>40</v>
      </c>
      <c r="D861" s="7">
        <v>332</v>
      </c>
      <c r="E861" s="31">
        <v>135272</v>
      </c>
      <c r="F861" s="29"/>
      <c r="G861" s="32">
        <v>45471</v>
      </c>
      <c r="H861" s="29"/>
      <c r="I861" s="5" t="s">
        <v>28</v>
      </c>
      <c r="J861" s="5" t="s">
        <v>80</v>
      </c>
      <c r="K861" s="5"/>
    </row>
    <row r="862" spans="1:11" ht="18.75" customHeight="1" x14ac:dyDescent="0.3">
      <c r="A862" s="30">
        <v>880</v>
      </c>
      <c r="B862" s="29"/>
      <c r="C862" s="5" t="s">
        <v>14</v>
      </c>
      <c r="D862" s="7">
        <v>220</v>
      </c>
      <c r="E862" s="31">
        <v>20435</v>
      </c>
      <c r="F862" s="29"/>
      <c r="G862" s="32">
        <v>45474</v>
      </c>
      <c r="H862" s="29"/>
      <c r="I862" s="5" t="s">
        <v>69</v>
      </c>
      <c r="J862" s="5" t="s">
        <v>79</v>
      </c>
      <c r="K862" s="5" t="s">
        <v>82</v>
      </c>
    </row>
    <row r="863" spans="1:11" ht="18.75" customHeight="1" x14ac:dyDescent="0.3">
      <c r="A863" s="30">
        <v>881</v>
      </c>
      <c r="B863" s="29"/>
      <c r="C863" s="5" t="s">
        <v>14</v>
      </c>
      <c r="D863" s="7">
        <v>219</v>
      </c>
      <c r="E863" s="31">
        <v>20444</v>
      </c>
      <c r="F863" s="29"/>
      <c r="G863" s="32">
        <v>45475</v>
      </c>
      <c r="H863" s="29"/>
      <c r="I863" s="5" t="s">
        <v>69</v>
      </c>
      <c r="J863" s="5" t="s">
        <v>79</v>
      </c>
      <c r="K863" s="5" t="s">
        <v>82</v>
      </c>
    </row>
    <row r="864" spans="1:11" ht="18.75" customHeight="1" x14ac:dyDescent="0.3">
      <c r="A864" s="30">
        <v>882</v>
      </c>
      <c r="B864" s="29"/>
      <c r="C864" s="5" t="s">
        <v>14</v>
      </c>
      <c r="D864" s="7">
        <v>208</v>
      </c>
      <c r="E864" s="31">
        <v>20449</v>
      </c>
      <c r="F864" s="29"/>
      <c r="G864" s="32">
        <v>45476</v>
      </c>
      <c r="H864" s="29"/>
      <c r="I864" s="5" t="s">
        <v>69</v>
      </c>
      <c r="J864" s="5" t="s">
        <v>79</v>
      </c>
      <c r="K864" s="5" t="s">
        <v>82</v>
      </c>
    </row>
    <row r="865" spans="1:11" ht="18.75" customHeight="1" x14ac:dyDescent="0.3">
      <c r="A865" s="30">
        <v>883</v>
      </c>
      <c r="B865" s="29"/>
      <c r="C865" s="5" t="s">
        <v>14</v>
      </c>
      <c r="D865" s="7">
        <v>158</v>
      </c>
      <c r="E865" s="31">
        <v>20477</v>
      </c>
      <c r="F865" s="29"/>
      <c r="G865" s="32">
        <v>45477</v>
      </c>
      <c r="H865" s="29"/>
      <c r="I865" s="5" t="s">
        <v>69</v>
      </c>
      <c r="J865" s="5" t="s">
        <v>79</v>
      </c>
      <c r="K865" s="5" t="s">
        <v>82</v>
      </c>
    </row>
    <row r="866" spans="1:11" ht="18.75" customHeight="1" x14ac:dyDescent="0.3">
      <c r="A866" s="30">
        <v>884</v>
      </c>
      <c r="B866" s="29"/>
      <c r="C866" s="5" t="s">
        <v>14</v>
      </c>
      <c r="D866" s="7">
        <v>196</v>
      </c>
      <c r="E866" s="31">
        <v>20520</v>
      </c>
      <c r="F866" s="29"/>
      <c r="G866" s="32">
        <v>45478</v>
      </c>
      <c r="H866" s="29"/>
      <c r="I866" s="5" t="s">
        <v>69</v>
      </c>
      <c r="J866" s="5" t="s">
        <v>79</v>
      </c>
      <c r="K866" s="5" t="s">
        <v>82</v>
      </c>
    </row>
    <row r="867" spans="1:11" ht="18.75" customHeight="1" x14ac:dyDescent="0.3">
      <c r="A867" s="30">
        <v>885</v>
      </c>
      <c r="B867" s="29"/>
      <c r="C867" s="5" t="s">
        <v>14</v>
      </c>
      <c r="D867" s="7">
        <v>190</v>
      </c>
      <c r="E867" s="31">
        <v>20528</v>
      </c>
      <c r="F867" s="29"/>
      <c r="G867" s="32">
        <v>45479</v>
      </c>
      <c r="H867" s="29"/>
      <c r="I867" s="5" t="s">
        <v>69</v>
      </c>
      <c r="J867" s="5" t="s">
        <v>79</v>
      </c>
      <c r="K867" s="5" t="s">
        <v>82</v>
      </c>
    </row>
    <row r="868" spans="1:11" ht="18.75" customHeight="1" x14ac:dyDescent="0.3">
      <c r="A868" s="30">
        <v>886</v>
      </c>
      <c r="B868" s="29"/>
      <c r="C868" s="5" t="s">
        <v>14</v>
      </c>
      <c r="D868" s="7">
        <v>147</v>
      </c>
      <c r="E868" s="31">
        <v>107489</v>
      </c>
      <c r="F868" s="29"/>
      <c r="G868" s="32">
        <v>45479</v>
      </c>
      <c r="H868" s="29"/>
      <c r="I868" s="5" t="s">
        <v>69</v>
      </c>
      <c r="J868" s="5" t="s">
        <v>79</v>
      </c>
      <c r="K868" s="5" t="s">
        <v>82</v>
      </c>
    </row>
    <row r="869" spans="1:11" ht="18.75" customHeight="1" x14ac:dyDescent="0.3">
      <c r="A869" s="30">
        <v>887</v>
      </c>
      <c r="B869" s="29"/>
      <c r="C869" s="5" t="s">
        <v>14</v>
      </c>
      <c r="D869" s="7">
        <v>217</v>
      </c>
      <c r="E869" s="31">
        <v>20490</v>
      </c>
      <c r="F869" s="29"/>
      <c r="G869" s="32">
        <v>45480</v>
      </c>
      <c r="H869" s="29"/>
      <c r="I869" s="5" t="s">
        <v>69</v>
      </c>
      <c r="J869" s="5" t="s">
        <v>79</v>
      </c>
      <c r="K869" s="5" t="s">
        <v>82</v>
      </c>
    </row>
    <row r="870" spans="1:11" ht="18.75" customHeight="1" x14ac:dyDescent="0.3">
      <c r="A870" s="30">
        <v>888</v>
      </c>
      <c r="B870" s="29"/>
      <c r="C870" s="5" t="s">
        <v>40</v>
      </c>
      <c r="D870" s="7">
        <v>632</v>
      </c>
      <c r="E870" s="31">
        <v>135274</v>
      </c>
      <c r="F870" s="29"/>
      <c r="G870" s="32">
        <v>45474</v>
      </c>
      <c r="H870" s="29"/>
      <c r="I870" s="5" t="s">
        <v>15</v>
      </c>
      <c r="J870" s="5" t="s">
        <v>30</v>
      </c>
      <c r="K870" s="5"/>
    </row>
    <row r="871" spans="1:11" ht="18.75" customHeight="1" x14ac:dyDescent="0.3">
      <c r="A871" s="30">
        <v>889</v>
      </c>
      <c r="B871" s="29"/>
      <c r="C871" s="5" t="s">
        <v>40</v>
      </c>
      <c r="D871" s="7">
        <v>487</v>
      </c>
      <c r="E871" s="31">
        <v>136608</v>
      </c>
      <c r="F871" s="29"/>
      <c r="G871" s="32">
        <v>45475</v>
      </c>
      <c r="H871" s="29"/>
      <c r="I871" s="5" t="s">
        <v>15</v>
      </c>
      <c r="J871" s="5" t="s">
        <v>30</v>
      </c>
      <c r="K871" s="5"/>
    </row>
    <row r="872" spans="1:11" ht="18.75" customHeight="1" x14ac:dyDescent="0.3">
      <c r="A872" s="30">
        <v>890</v>
      </c>
      <c r="B872" s="29"/>
      <c r="C872" s="5" t="s">
        <v>40</v>
      </c>
      <c r="D872" s="7">
        <v>625</v>
      </c>
      <c r="E872" s="31">
        <v>135489</v>
      </c>
      <c r="F872" s="29"/>
      <c r="G872" s="32">
        <v>45476</v>
      </c>
      <c r="H872" s="29"/>
      <c r="I872" s="5" t="s">
        <v>15</v>
      </c>
      <c r="J872" s="5" t="s">
        <v>30</v>
      </c>
      <c r="K872" s="5"/>
    </row>
    <row r="873" spans="1:11" ht="18.75" customHeight="1" x14ac:dyDescent="0.3">
      <c r="A873" s="30">
        <v>891</v>
      </c>
      <c r="B873" s="29"/>
      <c r="C873" s="5" t="s">
        <v>40</v>
      </c>
      <c r="D873" s="7">
        <v>522</v>
      </c>
      <c r="E873" s="31">
        <v>135281</v>
      </c>
      <c r="F873" s="29"/>
      <c r="G873" s="32">
        <v>45476</v>
      </c>
      <c r="H873" s="29"/>
      <c r="I873" s="5" t="s">
        <v>15</v>
      </c>
      <c r="J873" s="5" t="s">
        <v>30</v>
      </c>
      <c r="K873" s="5"/>
    </row>
    <row r="874" spans="1:11" ht="18.75" customHeight="1" x14ac:dyDescent="0.3">
      <c r="A874" s="30">
        <v>892</v>
      </c>
      <c r="B874" s="29"/>
      <c r="C874" s="5" t="s">
        <v>40</v>
      </c>
      <c r="D874" s="7">
        <v>280</v>
      </c>
      <c r="E874" s="31">
        <v>135493</v>
      </c>
      <c r="F874" s="29"/>
      <c r="G874" s="32">
        <v>45477</v>
      </c>
      <c r="H874" s="29"/>
      <c r="I874" s="5" t="s">
        <v>15</v>
      </c>
      <c r="J874" s="5" t="s">
        <v>30</v>
      </c>
      <c r="K874" s="5"/>
    </row>
    <row r="875" spans="1:11" ht="18.75" customHeight="1" x14ac:dyDescent="0.3">
      <c r="A875" s="30">
        <v>893</v>
      </c>
      <c r="B875" s="29"/>
      <c r="C875" s="5" t="s">
        <v>40</v>
      </c>
      <c r="D875" s="7">
        <v>470</v>
      </c>
      <c r="E875" s="31">
        <v>135288</v>
      </c>
      <c r="F875" s="29"/>
      <c r="G875" s="32">
        <v>45477</v>
      </c>
      <c r="H875" s="29"/>
      <c r="I875" s="5" t="s">
        <v>15</v>
      </c>
      <c r="J875" s="5" t="s">
        <v>30</v>
      </c>
      <c r="K875" s="5"/>
    </row>
    <row r="876" spans="1:11" ht="18.75" customHeight="1" x14ac:dyDescent="0.3">
      <c r="A876" s="30">
        <v>894</v>
      </c>
      <c r="B876" s="29"/>
      <c r="C876" s="5" t="s">
        <v>40</v>
      </c>
      <c r="D876" s="7">
        <v>560</v>
      </c>
      <c r="E876" s="31">
        <v>135294</v>
      </c>
      <c r="F876" s="29"/>
      <c r="G876" s="32">
        <v>45478</v>
      </c>
      <c r="H876" s="29"/>
      <c r="I876" s="5" t="s">
        <v>15</v>
      </c>
      <c r="J876" s="5" t="s">
        <v>30</v>
      </c>
      <c r="K876" s="5"/>
    </row>
    <row r="877" spans="1:11" ht="18.75" customHeight="1" x14ac:dyDescent="0.3">
      <c r="A877" s="30">
        <v>895</v>
      </c>
      <c r="B877" s="29"/>
      <c r="C877" s="5" t="s">
        <v>40</v>
      </c>
      <c r="D877" s="7">
        <v>360</v>
      </c>
      <c r="E877" s="31">
        <v>136623</v>
      </c>
      <c r="F877" s="29"/>
      <c r="G877" s="32">
        <v>45479</v>
      </c>
      <c r="H877" s="29"/>
      <c r="I877" s="5" t="s">
        <v>15</v>
      </c>
      <c r="J877" s="5" t="s">
        <v>30</v>
      </c>
      <c r="K877" s="5"/>
    </row>
    <row r="878" spans="1:11" ht="18.75" customHeight="1" x14ac:dyDescent="0.3">
      <c r="A878" s="30">
        <v>896</v>
      </c>
      <c r="B878" s="29"/>
      <c r="C878" s="5" t="s">
        <v>40</v>
      </c>
      <c r="D878" s="7">
        <v>496</v>
      </c>
      <c r="E878" s="31">
        <v>136605</v>
      </c>
      <c r="F878" s="29"/>
      <c r="G878" s="32">
        <v>45474</v>
      </c>
      <c r="H878" s="29"/>
      <c r="I878" s="5" t="s">
        <v>28</v>
      </c>
      <c r="J878" s="5" t="s">
        <v>80</v>
      </c>
      <c r="K878" s="5"/>
    </row>
    <row r="879" spans="1:11" ht="18.75" customHeight="1" x14ac:dyDescent="0.3">
      <c r="A879" s="30">
        <v>897</v>
      </c>
      <c r="B879" s="29"/>
      <c r="C879" s="5" t="s">
        <v>40</v>
      </c>
      <c r="D879" s="7">
        <v>400</v>
      </c>
      <c r="E879" s="31">
        <v>135481</v>
      </c>
      <c r="F879" s="29"/>
      <c r="G879" s="32">
        <v>45474</v>
      </c>
      <c r="H879" s="29"/>
      <c r="I879" s="5" t="s">
        <v>28</v>
      </c>
      <c r="J879" s="5" t="s">
        <v>80</v>
      </c>
      <c r="K879" s="5"/>
    </row>
    <row r="880" spans="1:11" ht="18.75" customHeight="1" x14ac:dyDescent="0.3">
      <c r="A880" s="30">
        <v>898</v>
      </c>
      <c r="B880" s="29"/>
      <c r="C880" s="5" t="s">
        <v>40</v>
      </c>
      <c r="D880" s="7">
        <v>368</v>
      </c>
      <c r="E880" s="31">
        <v>135484</v>
      </c>
      <c r="F880" s="29"/>
      <c r="G880" s="32">
        <v>45475</v>
      </c>
      <c r="H880" s="29"/>
      <c r="I880" s="5" t="s">
        <v>28</v>
      </c>
      <c r="J880" s="5" t="s">
        <v>80</v>
      </c>
      <c r="K880" s="5"/>
    </row>
    <row r="881" spans="1:11" ht="18.75" customHeight="1" x14ac:dyDescent="0.3">
      <c r="A881" s="30">
        <v>899</v>
      </c>
      <c r="B881" s="29"/>
      <c r="C881" s="5" t="s">
        <v>40</v>
      </c>
      <c r="D881" s="7">
        <v>396</v>
      </c>
      <c r="E881" s="31">
        <v>136860</v>
      </c>
      <c r="F881" s="29"/>
      <c r="G881" s="32">
        <v>45476</v>
      </c>
      <c r="H881" s="29"/>
      <c r="I881" s="5" t="s">
        <v>28</v>
      </c>
      <c r="J881" s="5" t="s">
        <v>80</v>
      </c>
      <c r="K881" s="5"/>
    </row>
    <row r="882" spans="1:11" ht="18.75" customHeight="1" x14ac:dyDescent="0.3">
      <c r="A882" s="30">
        <v>900</v>
      </c>
      <c r="B882" s="29"/>
      <c r="C882" s="5" t="s">
        <v>40</v>
      </c>
      <c r="D882" s="7">
        <v>498</v>
      </c>
      <c r="E882" s="31">
        <v>136619</v>
      </c>
      <c r="F882" s="29"/>
      <c r="G882" s="32">
        <v>45478</v>
      </c>
      <c r="H882" s="29"/>
      <c r="I882" s="5" t="s">
        <v>28</v>
      </c>
      <c r="J882" s="5" t="s">
        <v>80</v>
      </c>
      <c r="K882" s="5"/>
    </row>
    <row r="883" spans="1:11" ht="18.75" customHeight="1" x14ac:dyDescent="0.3">
      <c r="A883" s="30">
        <v>901</v>
      </c>
      <c r="B883" s="29"/>
      <c r="C883" s="5" t="s">
        <v>40</v>
      </c>
      <c r="D883" s="7">
        <v>543</v>
      </c>
      <c r="E883" s="31">
        <v>135300</v>
      </c>
      <c r="F883" s="29"/>
      <c r="G883" s="32">
        <v>45478</v>
      </c>
      <c r="H883" s="29"/>
      <c r="I883" s="5" t="s">
        <v>28</v>
      </c>
      <c r="J883" s="5" t="s">
        <v>80</v>
      </c>
      <c r="K883" s="5"/>
    </row>
    <row r="884" spans="1:11" ht="18.75" customHeight="1" x14ac:dyDescent="0.3">
      <c r="A884" s="30">
        <v>902</v>
      </c>
      <c r="B884" s="29"/>
      <c r="C884" s="5" t="s">
        <v>40</v>
      </c>
      <c r="D884" s="7">
        <v>325</v>
      </c>
      <c r="E884" s="31">
        <v>135497</v>
      </c>
      <c r="F884" s="29"/>
      <c r="G884" s="32">
        <v>45479</v>
      </c>
      <c r="H884" s="29"/>
      <c r="I884" s="5" t="s">
        <v>28</v>
      </c>
      <c r="J884" s="5" t="s">
        <v>80</v>
      </c>
      <c r="K884" s="5"/>
    </row>
    <row r="885" spans="1:11" ht="18.75" customHeight="1" x14ac:dyDescent="0.3">
      <c r="A885" s="30">
        <v>903</v>
      </c>
      <c r="B885" s="29"/>
      <c r="C885" s="5" t="s">
        <v>14</v>
      </c>
      <c r="D885" s="7">
        <v>191</v>
      </c>
      <c r="E885" s="31">
        <v>20501</v>
      </c>
      <c r="F885" s="29"/>
      <c r="G885" s="32">
        <v>45481</v>
      </c>
      <c r="H885" s="29"/>
      <c r="I885" s="5" t="s">
        <v>69</v>
      </c>
      <c r="J885" s="5" t="s">
        <v>79</v>
      </c>
      <c r="K885" s="5" t="s">
        <v>82</v>
      </c>
    </row>
    <row r="886" spans="1:11" ht="18.75" customHeight="1" x14ac:dyDescent="0.3">
      <c r="A886" s="30">
        <v>904</v>
      </c>
      <c r="B886" s="29"/>
      <c r="C886" s="5" t="s">
        <v>14</v>
      </c>
      <c r="D886" s="7">
        <v>167</v>
      </c>
      <c r="E886" s="31">
        <v>20538</v>
      </c>
      <c r="F886" s="29"/>
      <c r="G886" s="32">
        <v>45482</v>
      </c>
      <c r="H886" s="29"/>
      <c r="I886" s="5" t="s">
        <v>69</v>
      </c>
      <c r="J886" s="5" t="s">
        <v>79</v>
      </c>
      <c r="K886" s="5" t="s">
        <v>82</v>
      </c>
    </row>
    <row r="887" spans="1:11" ht="18.75" customHeight="1" x14ac:dyDescent="0.3">
      <c r="A887" s="30">
        <v>905</v>
      </c>
      <c r="B887" s="29"/>
      <c r="C887" s="5" t="s">
        <v>14</v>
      </c>
      <c r="D887" s="7">
        <v>171</v>
      </c>
      <c r="E887" s="31">
        <v>20546</v>
      </c>
      <c r="F887" s="29"/>
      <c r="G887" s="32">
        <v>45483</v>
      </c>
      <c r="H887" s="29"/>
      <c r="I887" s="5" t="s">
        <v>69</v>
      </c>
      <c r="J887" s="5" t="s">
        <v>79</v>
      </c>
      <c r="K887" s="5" t="s">
        <v>82</v>
      </c>
    </row>
    <row r="888" spans="1:11" ht="18.75" customHeight="1" x14ac:dyDescent="0.3">
      <c r="A888" s="30">
        <v>906</v>
      </c>
      <c r="B888" s="29"/>
      <c r="C888" s="5" t="s">
        <v>14</v>
      </c>
      <c r="D888" s="7">
        <v>193</v>
      </c>
      <c r="E888" s="31">
        <v>107559</v>
      </c>
      <c r="F888" s="29"/>
      <c r="G888" s="32">
        <v>45483</v>
      </c>
      <c r="H888" s="29"/>
      <c r="I888" s="5" t="s">
        <v>69</v>
      </c>
      <c r="J888" s="5" t="s">
        <v>79</v>
      </c>
      <c r="K888" s="5" t="s">
        <v>82</v>
      </c>
    </row>
    <row r="889" spans="1:11" ht="18.75" customHeight="1" x14ac:dyDescent="0.3">
      <c r="A889" s="30">
        <v>907</v>
      </c>
      <c r="B889" s="29"/>
      <c r="C889" s="5" t="s">
        <v>14</v>
      </c>
      <c r="D889" s="7">
        <v>172</v>
      </c>
      <c r="E889" s="31">
        <v>20562</v>
      </c>
      <c r="F889" s="29"/>
      <c r="G889" s="32">
        <v>45484</v>
      </c>
      <c r="H889" s="29"/>
      <c r="I889" s="5" t="s">
        <v>69</v>
      </c>
      <c r="J889" s="5" t="s">
        <v>79</v>
      </c>
      <c r="K889" s="5" t="s">
        <v>82</v>
      </c>
    </row>
    <row r="890" spans="1:11" ht="18.75" customHeight="1" x14ac:dyDescent="0.3">
      <c r="A890" s="30">
        <v>908</v>
      </c>
      <c r="B890" s="29"/>
      <c r="C890" s="5" t="s">
        <v>14</v>
      </c>
      <c r="D890" s="7">
        <v>175</v>
      </c>
      <c r="E890" s="31">
        <v>20574</v>
      </c>
      <c r="F890" s="29"/>
      <c r="G890" s="32">
        <v>45485</v>
      </c>
      <c r="H890" s="29"/>
      <c r="I890" s="5" t="s">
        <v>69</v>
      </c>
      <c r="J890" s="5" t="s">
        <v>79</v>
      </c>
      <c r="K890" s="5" t="s">
        <v>82</v>
      </c>
    </row>
    <row r="891" spans="1:11" ht="18.75" customHeight="1" x14ac:dyDescent="0.3">
      <c r="A891" s="30">
        <v>909</v>
      </c>
      <c r="B891" s="29"/>
      <c r="C891" s="5" t="s">
        <v>14</v>
      </c>
      <c r="D891" s="7">
        <v>181</v>
      </c>
      <c r="E891" s="31">
        <v>20582</v>
      </c>
      <c r="F891" s="29"/>
      <c r="G891" s="32">
        <v>45486</v>
      </c>
      <c r="H891" s="29"/>
      <c r="I891" s="5" t="s">
        <v>69</v>
      </c>
      <c r="J891" s="5" t="s">
        <v>79</v>
      </c>
      <c r="K891" s="5" t="s">
        <v>82</v>
      </c>
    </row>
    <row r="892" spans="1:11" ht="18.75" customHeight="1" x14ac:dyDescent="0.3">
      <c r="A892" s="30">
        <v>910</v>
      </c>
      <c r="B892" s="29"/>
      <c r="C892" s="5" t="s">
        <v>14</v>
      </c>
      <c r="D892" s="7">
        <v>184</v>
      </c>
      <c r="E892" s="31">
        <v>20590</v>
      </c>
      <c r="F892" s="29"/>
      <c r="G892" s="32">
        <v>45487</v>
      </c>
      <c r="H892" s="29"/>
      <c r="I892" s="5" t="s">
        <v>69</v>
      </c>
      <c r="J892" s="5" t="s">
        <v>79</v>
      </c>
      <c r="K892" s="5" t="s">
        <v>82</v>
      </c>
    </row>
    <row r="893" spans="1:11" ht="18.75" customHeight="1" x14ac:dyDescent="0.3">
      <c r="A893" s="30">
        <v>911</v>
      </c>
      <c r="B893" s="29"/>
      <c r="C893" s="5" t="s">
        <v>40</v>
      </c>
      <c r="D893" s="7">
        <v>540</v>
      </c>
      <c r="E893" s="31">
        <v>135307</v>
      </c>
      <c r="F893" s="29"/>
      <c r="G893" s="32">
        <v>45481</v>
      </c>
      <c r="H893" s="29"/>
      <c r="I893" s="5" t="s">
        <v>15</v>
      </c>
      <c r="J893" s="5" t="s">
        <v>30</v>
      </c>
      <c r="K893" s="5"/>
    </row>
    <row r="894" spans="1:11" ht="18.75" customHeight="1" x14ac:dyDescent="0.3">
      <c r="A894" s="30">
        <v>912</v>
      </c>
      <c r="B894" s="29"/>
      <c r="C894" s="5" t="s">
        <v>40</v>
      </c>
      <c r="D894" s="7">
        <v>400</v>
      </c>
      <c r="E894" s="31">
        <v>135311</v>
      </c>
      <c r="F894" s="29"/>
      <c r="G894" s="32">
        <v>45481</v>
      </c>
      <c r="H894" s="29"/>
      <c r="I894" s="5" t="s">
        <v>15</v>
      </c>
      <c r="J894" s="5" t="s">
        <v>30</v>
      </c>
      <c r="K894" s="5"/>
    </row>
    <row r="895" spans="1:11" ht="18.75" customHeight="1" x14ac:dyDescent="0.3">
      <c r="A895" s="30">
        <v>913</v>
      </c>
      <c r="B895" s="29"/>
      <c r="C895" s="5" t="s">
        <v>40</v>
      </c>
      <c r="D895" s="7">
        <v>300</v>
      </c>
      <c r="E895" s="31">
        <v>136629</v>
      </c>
      <c r="F895" s="29"/>
      <c r="G895" s="32">
        <v>45482</v>
      </c>
      <c r="H895" s="29"/>
      <c r="I895" s="5" t="s">
        <v>15</v>
      </c>
      <c r="J895" s="5" t="s">
        <v>30</v>
      </c>
      <c r="K895" s="5"/>
    </row>
    <row r="896" spans="1:11" ht="18.75" customHeight="1" x14ac:dyDescent="0.3">
      <c r="A896" s="30">
        <v>914</v>
      </c>
      <c r="B896" s="29"/>
      <c r="C896" s="5" t="s">
        <v>40</v>
      </c>
      <c r="D896" s="7">
        <v>383</v>
      </c>
      <c r="E896" s="31">
        <v>136631</v>
      </c>
      <c r="F896" s="29"/>
      <c r="G896" s="32">
        <v>45483</v>
      </c>
      <c r="H896" s="29"/>
      <c r="I896" s="5" t="s">
        <v>15</v>
      </c>
      <c r="J896" s="5" t="s">
        <v>30</v>
      </c>
      <c r="K896" s="5"/>
    </row>
    <row r="897" spans="1:11" ht="18.75" customHeight="1" x14ac:dyDescent="0.3">
      <c r="A897" s="30">
        <v>915</v>
      </c>
      <c r="B897" s="29"/>
      <c r="C897" s="5" t="s">
        <v>40</v>
      </c>
      <c r="D897" s="7">
        <v>550</v>
      </c>
      <c r="E897" s="31">
        <v>135335</v>
      </c>
      <c r="F897" s="29"/>
      <c r="G897" s="32">
        <v>45484</v>
      </c>
      <c r="H897" s="29"/>
      <c r="I897" s="5" t="s">
        <v>15</v>
      </c>
      <c r="J897" s="5" t="s">
        <v>30</v>
      </c>
      <c r="K897" s="5"/>
    </row>
    <row r="898" spans="1:11" ht="18.75" customHeight="1" x14ac:dyDescent="0.3">
      <c r="A898" s="30">
        <v>916</v>
      </c>
      <c r="B898" s="29"/>
      <c r="C898" s="5" t="s">
        <v>40</v>
      </c>
      <c r="D898" s="7">
        <v>550</v>
      </c>
      <c r="E898" s="31">
        <v>135340</v>
      </c>
      <c r="F898" s="29"/>
      <c r="G898" s="32">
        <v>45485</v>
      </c>
      <c r="H898" s="29"/>
      <c r="I898" s="5" t="s">
        <v>15</v>
      </c>
      <c r="J898" s="5" t="s">
        <v>30</v>
      </c>
      <c r="K898" s="5"/>
    </row>
    <row r="899" spans="1:11" ht="18.75" customHeight="1" x14ac:dyDescent="0.3">
      <c r="A899" s="30">
        <v>917</v>
      </c>
      <c r="B899" s="29"/>
      <c r="C899" s="5" t="s">
        <v>40</v>
      </c>
      <c r="D899" s="7">
        <v>539</v>
      </c>
      <c r="E899" s="31">
        <v>135310</v>
      </c>
      <c r="F899" s="29"/>
      <c r="G899" s="32">
        <v>45481</v>
      </c>
      <c r="H899" s="29"/>
      <c r="I899" s="5" t="s">
        <v>28</v>
      </c>
      <c r="J899" s="5" t="s">
        <v>80</v>
      </c>
      <c r="K899" s="5"/>
    </row>
    <row r="900" spans="1:11" ht="18.75" customHeight="1" x14ac:dyDescent="0.3">
      <c r="A900" s="30">
        <v>918</v>
      </c>
      <c r="B900" s="29"/>
      <c r="C900" s="5" t="s">
        <v>40</v>
      </c>
      <c r="D900" s="7">
        <v>600</v>
      </c>
      <c r="E900" s="31">
        <v>135318</v>
      </c>
      <c r="F900" s="29"/>
      <c r="G900" s="32">
        <v>45482</v>
      </c>
      <c r="H900" s="29"/>
      <c r="I900" s="5" t="s">
        <v>28</v>
      </c>
      <c r="J900" s="5" t="s">
        <v>80</v>
      </c>
      <c r="K900" s="5"/>
    </row>
    <row r="901" spans="1:11" ht="18.75" customHeight="1" x14ac:dyDescent="0.3">
      <c r="A901" s="30">
        <v>919</v>
      </c>
      <c r="B901" s="29"/>
      <c r="C901" s="5" t="s">
        <v>40</v>
      </c>
      <c r="D901" s="7">
        <v>595</v>
      </c>
      <c r="E901" s="31">
        <v>135325</v>
      </c>
      <c r="F901" s="29"/>
      <c r="G901" s="32">
        <v>45483</v>
      </c>
      <c r="H901" s="29"/>
      <c r="I901" s="5" t="s">
        <v>28</v>
      </c>
      <c r="J901" s="5" t="s">
        <v>80</v>
      </c>
      <c r="K901" s="5"/>
    </row>
    <row r="902" spans="1:11" ht="18.75" customHeight="1" x14ac:dyDescent="0.3">
      <c r="A902" s="30">
        <v>920</v>
      </c>
      <c r="B902" s="29"/>
      <c r="C902" s="5" t="s">
        <v>40</v>
      </c>
      <c r="D902" s="7">
        <v>400</v>
      </c>
      <c r="E902" s="31">
        <v>136635</v>
      </c>
      <c r="F902" s="29"/>
      <c r="G902" s="32">
        <v>45484</v>
      </c>
      <c r="H902" s="29"/>
      <c r="I902" s="5" t="s">
        <v>28</v>
      </c>
      <c r="J902" s="5" t="s">
        <v>80</v>
      </c>
      <c r="K902" s="5"/>
    </row>
    <row r="903" spans="1:11" ht="18.75" customHeight="1" x14ac:dyDescent="0.3">
      <c r="A903" s="30">
        <v>921</v>
      </c>
      <c r="B903" s="29"/>
      <c r="C903" s="5" t="s">
        <v>40</v>
      </c>
      <c r="D903" s="7">
        <v>550</v>
      </c>
      <c r="E903" s="31">
        <v>135341</v>
      </c>
      <c r="F903" s="29"/>
      <c r="G903" s="32">
        <v>45485</v>
      </c>
      <c r="H903" s="29"/>
      <c r="I903" s="5" t="s">
        <v>28</v>
      </c>
      <c r="J903" s="5" t="s">
        <v>80</v>
      </c>
      <c r="K903" s="5"/>
    </row>
    <row r="904" spans="1:11" ht="18.75" customHeight="1" x14ac:dyDescent="0.3">
      <c r="A904" s="30">
        <v>922</v>
      </c>
      <c r="B904" s="29"/>
      <c r="C904" s="5" t="s">
        <v>40</v>
      </c>
      <c r="D904" s="7">
        <v>515</v>
      </c>
      <c r="E904" s="31">
        <v>135348</v>
      </c>
      <c r="F904" s="29"/>
      <c r="G904" s="32">
        <v>45486</v>
      </c>
      <c r="H904" s="29"/>
      <c r="I904" s="5" t="s">
        <v>28</v>
      </c>
      <c r="J904" s="5" t="s">
        <v>80</v>
      </c>
      <c r="K904" s="5"/>
    </row>
    <row r="905" spans="1:11" ht="18.75" customHeight="1" x14ac:dyDescent="0.3">
      <c r="A905" s="30">
        <v>923</v>
      </c>
      <c r="B905" s="29"/>
      <c r="C905" s="5" t="s">
        <v>14</v>
      </c>
      <c r="D905" s="7">
        <v>197</v>
      </c>
      <c r="E905" s="31">
        <v>20605</v>
      </c>
      <c r="F905" s="29"/>
      <c r="G905" s="32">
        <v>45488</v>
      </c>
      <c r="H905" s="29"/>
      <c r="I905" s="5" t="s">
        <v>69</v>
      </c>
      <c r="J905" s="5" t="s">
        <v>79</v>
      </c>
      <c r="K905" s="5" t="s">
        <v>82</v>
      </c>
    </row>
    <row r="906" spans="1:11" ht="18.75" customHeight="1" x14ac:dyDescent="0.3">
      <c r="A906" s="30">
        <v>924</v>
      </c>
      <c r="B906" s="29"/>
      <c r="C906" s="5" t="s">
        <v>14</v>
      </c>
      <c r="D906" s="7">
        <v>234</v>
      </c>
      <c r="E906" s="31">
        <v>20623</v>
      </c>
      <c r="F906" s="29"/>
      <c r="G906" s="32">
        <v>45489</v>
      </c>
      <c r="H906" s="29"/>
      <c r="I906" s="5" t="s">
        <v>69</v>
      </c>
      <c r="J906" s="5" t="s">
        <v>79</v>
      </c>
      <c r="K906" s="5" t="s">
        <v>82</v>
      </c>
    </row>
    <row r="907" spans="1:11" ht="18.75" customHeight="1" x14ac:dyDescent="0.3">
      <c r="A907" s="30">
        <v>925</v>
      </c>
      <c r="B907" s="29"/>
      <c r="C907" s="5" t="s">
        <v>14</v>
      </c>
      <c r="D907" s="7">
        <v>198</v>
      </c>
      <c r="E907" s="31">
        <v>20633</v>
      </c>
      <c r="F907" s="29"/>
      <c r="G907" s="32">
        <v>45490</v>
      </c>
      <c r="H907" s="29"/>
      <c r="I907" s="5" t="s">
        <v>69</v>
      </c>
      <c r="J907" s="5" t="s">
        <v>79</v>
      </c>
      <c r="K907" s="5" t="s">
        <v>82</v>
      </c>
    </row>
    <row r="908" spans="1:11" ht="18.75" customHeight="1" x14ac:dyDescent="0.3">
      <c r="A908" s="30">
        <v>926</v>
      </c>
      <c r="B908" s="29"/>
      <c r="C908" s="5" t="s">
        <v>14</v>
      </c>
      <c r="D908" s="7">
        <v>194</v>
      </c>
      <c r="E908" s="31">
        <v>20643</v>
      </c>
      <c r="F908" s="29"/>
      <c r="G908" s="32">
        <v>45491</v>
      </c>
      <c r="H908" s="29"/>
      <c r="I908" s="5" t="s">
        <v>69</v>
      </c>
      <c r="J908" s="5" t="s">
        <v>79</v>
      </c>
      <c r="K908" s="5" t="s">
        <v>82</v>
      </c>
    </row>
    <row r="909" spans="1:11" ht="18.75" customHeight="1" x14ac:dyDescent="0.3">
      <c r="A909" s="30">
        <v>927</v>
      </c>
      <c r="B909" s="29"/>
      <c r="C909" s="5" t="s">
        <v>14</v>
      </c>
      <c r="D909" s="7">
        <v>209</v>
      </c>
      <c r="E909" s="31">
        <v>20657</v>
      </c>
      <c r="F909" s="29"/>
      <c r="G909" s="32">
        <v>45492</v>
      </c>
      <c r="H909" s="29"/>
      <c r="I909" s="5" t="s">
        <v>69</v>
      </c>
      <c r="J909" s="5" t="s">
        <v>79</v>
      </c>
      <c r="K909" s="5" t="s">
        <v>82</v>
      </c>
    </row>
    <row r="910" spans="1:11" ht="18.75" customHeight="1" x14ac:dyDescent="0.3">
      <c r="A910" s="30">
        <v>928</v>
      </c>
      <c r="B910" s="29"/>
      <c r="C910" s="5" t="s">
        <v>14</v>
      </c>
      <c r="D910" s="7">
        <v>189</v>
      </c>
      <c r="E910" s="31">
        <v>20668</v>
      </c>
      <c r="F910" s="29"/>
      <c r="G910" s="32">
        <v>45493</v>
      </c>
      <c r="H910" s="29"/>
      <c r="I910" s="5" t="s">
        <v>69</v>
      </c>
      <c r="J910" s="5" t="s">
        <v>79</v>
      </c>
      <c r="K910" s="5" t="s">
        <v>82</v>
      </c>
    </row>
    <row r="911" spans="1:11" ht="18.75" customHeight="1" x14ac:dyDescent="0.3">
      <c r="A911" s="30">
        <v>929</v>
      </c>
      <c r="B911" s="29"/>
      <c r="C911" s="5" t="s">
        <v>14</v>
      </c>
      <c r="D911" s="7">
        <v>185</v>
      </c>
      <c r="E911" s="31">
        <v>20676</v>
      </c>
      <c r="F911" s="29"/>
      <c r="G911" s="32">
        <v>45494</v>
      </c>
      <c r="H911" s="29"/>
      <c r="I911" s="5" t="s">
        <v>69</v>
      </c>
      <c r="J911" s="5" t="s">
        <v>79</v>
      </c>
      <c r="K911" s="5" t="s">
        <v>82</v>
      </c>
    </row>
    <row r="912" spans="1:11" ht="18.75" customHeight="1" x14ac:dyDescent="0.3">
      <c r="A912" s="30">
        <v>930</v>
      </c>
      <c r="B912" s="29"/>
      <c r="C912" s="5" t="s">
        <v>40</v>
      </c>
      <c r="D912" s="7">
        <v>653</v>
      </c>
      <c r="E912" s="31">
        <v>135351</v>
      </c>
      <c r="F912" s="29"/>
      <c r="G912" s="32">
        <v>45488</v>
      </c>
      <c r="H912" s="29"/>
      <c r="I912" s="5" t="s">
        <v>15</v>
      </c>
      <c r="J912" s="5" t="s">
        <v>30</v>
      </c>
      <c r="K912" s="5"/>
    </row>
    <row r="913" spans="1:11" ht="18.75" customHeight="1" x14ac:dyDescent="0.3">
      <c r="A913" s="30">
        <v>931</v>
      </c>
      <c r="B913" s="29"/>
      <c r="C913" s="5" t="s">
        <v>40</v>
      </c>
      <c r="D913" s="7">
        <v>521</v>
      </c>
      <c r="E913" s="31">
        <v>135356</v>
      </c>
      <c r="F913" s="29"/>
      <c r="G913" s="32">
        <v>45489</v>
      </c>
      <c r="H913" s="29"/>
      <c r="I913" s="5" t="s">
        <v>15</v>
      </c>
      <c r="J913" s="5" t="s">
        <v>30</v>
      </c>
      <c r="K913" s="5"/>
    </row>
    <row r="914" spans="1:11" ht="18.75" customHeight="1" x14ac:dyDescent="0.3">
      <c r="A914" s="30">
        <v>932</v>
      </c>
      <c r="B914" s="29"/>
      <c r="C914" s="5" t="s">
        <v>40</v>
      </c>
      <c r="D914" s="7">
        <v>400</v>
      </c>
      <c r="E914" s="31">
        <v>135359</v>
      </c>
      <c r="F914" s="29"/>
      <c r="G914" s="32">
        <v>45489</v>
      </c>
      <c r="H914" s="29"/>
      <c r="I914" s="5" t="s">
        <v>15</v>
      </c>
      <c r="J914" s="5" t="s">
        <v>30</v>
      </c>
      <c r="K914" s="5"/>
    </row>
    <row r="915" spans="1:11" ht="18.75" customHeight="1" x14ac:dyDescent="0.3">
      <c r="A915" s="30">
        <v>933</v>
      </c>
      <c r="B915" s="29"/>
      <c r="C915" s="5" t="s">
        <v>40</v>
      </c>
      <c r="D915" s="7">
        <v>396</v>
      </c>
      <c r="E915" s="31">
        <v>136911</v>
      </c>
      <c r="F915" s="29"/>
      <c r="G915" s="32">
        <v>45490</v>
      </c>
      <c r="H915" s="29"/>
      <c r="I915" s="5" t="s">
        <v>15</v>
      </c>
      <c r="J915" s="5" t="s">
        <v>30</v>
      </c>
      <c r="K915" s="5"/>
    </row>
    <row r="916" spans="1:11" ht="18.75" customHeight="1" x14ac:dyDescent="0.3">
      <c r="A916" s="30">
        <v>934</v>
      </c>
      <c r="B916" s="29"/>
      <c r="C916" s="5" t="s">
        <v>40</v>
      </c>
      <c r="D916" s="7">
        <v>384</v>
      </c>
      <c r="E916" s="31">
        <v>136878</v>
      </c>
      <c r="F916" s="29"/>
      <c r="G916" s="32">
        <v>45490</v>
      </c>
      <c r="H916" s="29"/>
      <c r="I916" s="5" t="s">
        <v>15</v>
      </c>
      <c r="J916" s="5" t="s">
        <v>30</v>
      </c>
      <c r="K916" s="5"/>
    </row>
    <row r="917" spans="1:11" ht="18.75" customHeight="1" x14ac:dyDescent="0.3">
      <c r="A917" s="30">
        <v>935</v>
      </c>
      <c r="B917" s="29"/>
      <c r="C917" s="5" t="s">
        <v>40</v>
      </c>
      <c r="D917" s="7">
        <v>550</v>
      </c>
      <c r="E917" s="31">
        <v>135364</v>
      </c>
      <c r="F917" s="29"/>
      <c r="G917" s="32">
        <v>45491</v>
      </c>
      <c r="H917" s="29"/>
      <c r="I917" s="5" t="s">
        <v>15</v>
      </c>
      <c r="J917" s="5" t="s">
        <v>30</v>
      </c>
      <c r="K917" s="5"/>
    </row>
    <row r="918" spans="1:11" ht="18.75" customHeight="1" x14ac:dyDescent="0.3">
      <c r="A918" s="30">
        <v>936</v>
      </c>
      <c r="B918" s="29"/>
      <c r="C918" s="5" t="s">
        <v>40</v>
      </c>
      <c r="D918" s="7">
        <v>515</v>
      </c>
      <c r="E918" s="31">
        <v>135367</v>
      </c>
      <c r="F918" s="29"/>
      <c r="G918" s="32">
        <v>45491</v>
      </c>
      <c r="H918" s="29"/>
      <c r="I918" s="5" t="s">
        <v>15</v>
      </c>
      <c r="J918" s="5" t="s">
        <v>30</v>
      </c>
      <c r="K918" s="5"/>
    </row>
    <row r="919" spans="1:11" ht="18.75" customHeight="1" x14ac:dyDescent="0.3">
      <c r="A919" s="30">
        <v>937</v>
      </c>
      <c r="B919" s="29"/>
      <c r="C919" s="5" t="s">
        <v>40</v>
      </c>
      <c r="D919" s="7">
        <v>723</v>
      </c>
      <c r="E919" s="31">
        <v>135368</v>
      </c>
      <c r="F919" s="29"/>
      <c r="G919" s="32">
        <v>45492</v>
      </c>
      <c r="H919" s="29"/>
      <c r="I919" s="5" t="s">
        <v>15</v>
      </c>
      <c r="J919" s="5" t="s">
        <v>30</v>
      </c>
      <c r="K919" s="5"/>
    </row>
    <row r="920" spans="1:11" ht="18.75" customHeight="1" x14ac:dyDescent="0.3">
      <c r="A920" s="30">
        <v>938</v>
      </c>
      <c r="B920" s="29"/>
      <c r="C920" s="5" t="s">
        <v>40</v>
      </c>
      <c r="D920" s="7">
        <v>532</v>
      </c>
      <c r="E920" s="31">
        <v>136895</v>
      </c>
      <c r="F920" s="29"/>
      <c r="G920" s="32">
        <v>45492</v>
      </c>
      <c r="H920" s="29"/>
      <c r="I920" s="5" t="s">
        <v>15</v>
      </c>
      <c r="J920" s="5" t="s">
        <v>30</v>
      </c>
      <c r="K920" s="5"/>
    </row>
    <row r="921" spans="1:11" ht="18.75" customHeight="1" x14ac:dyDescent="0.3">
      <c r="A921" s="30">
        <v>939</v>
      </c>
      <c r="B921" s="29"/>
      <c r="C921" s="5" t="s">
        <v>40</v>
      </c>
      <c r="D921" s="7">
        <v>447</v>
      </c>
      <c r="E921" s="31">
        <v>136953</v>
      </c>
      <c r="F921" s="29"/>
      <c r="G921" s="32">
        <v>45492</v>
      </c>
      <c r="H921" s="29"/>
      <c r="I921" s="5" t="s">
        <v>15</v>
      </c>
      <c r="J921" s="5" t="s">
        <v>30</v>
      </c>
      <c r="K921" s="5"/>
    </row>
    <row r="922" spans="1:11" ht="18.75" customHeight="1" x14ac:dyDescent="0.3">
      <c r="A922" s="30">
        <v>940</v>
      </c>
      <c r="B922" s="29"/>
      <c r="C922" s="5" t="s">
        <v>40</v>
      </c>
      <c r="D922" s="7">
        <v>456</v>
      </c>
      <c r="E922" s="31">
        <v>136955</v>
      </c>
      <c r="F922" s="29"/>
      <c r="G922" s="32">
        <v>45493</v>
      </c>
      <c r="H922" s="29"/>
      <c r="I922" s="5" t="s">
        <v>15</v>
      </c>
      <c r="J922" s="5" t="s">
        <v>30</v>
      </c>
      <c r="K922" s="5"/>
    </row>
    <row r="923" spans="1:11" ht="18.75" customHeight="1" x14ac:dyDescent="0.3">
      <c r="A923" s="30">
        <v>941</v>
      </c>
      <c r="B923" s="29"/>
      <c r="C923" s="5" t="s">
        <v>40</v>
      </c>
      <c r="D923" s="7">
        <v>659</v>
      </c>
      <c r="E923" s="31">
        <v>136639</v>
      </c>
      <c r="F923" s="29"/>
      <c r="G923" s="32">
        <v>45488</v>
      </c>
      <c r="H923" s="29"/>
      <c r="I923" s="5" t="s">
        <v>28</v>
      </c>
      <c r="J923" s="5" t="s">
        <v>80</v>
      </c>
      <c r="K923" s="5"/>
    </row>
    <row r="924" spans="1:11" ht="18.75" customHeight="1" x14ac:dyDescent="0.3">
      <c r="A924" s="30">
        <v>942</v>
      </c>
      <c r="B924" s="29"/>
      <c r="C924" s="5" t="s">
        <v>40</v>
      </c>
      <c r="D924" s="7">
        <v>720</v>
      </c>
      <c r="E924" s="31">
        <v>135362</v>
      </c>
      <c r="F924" s="29"/>
      <c r="G924" s="32">
        <v>45490</v>
      </c>
      <c r="H924" s="29"/>
      <c r="I924" s="5" t="s">
        <v>28</v>
      </c>
      <c r="J924" s="5" t="s">
        <v>80</v>
      </c>
      <c r="K924" s="5"/>
    </row>
    <row r="925" spans="1:11" ht="18.75" customHeight="1" x14ac:dyDescent="0.3">
      <c r="A925" s="30">
        <v>943</v>
      </c>
      <c r="B925" s="29"/>
      <c r="C925" s="5" t="s">
        <v>40</v>
      </c>
      <c r="D925" s="7">
        <v>448</v>
      </c>
      <c r="E925" s="31">
        <v>136880</v>
      </c>
      <c r="F925" s="29"/>
      <c r="G925" s="32">
        <v>45490</v>
      </c>
      <c r="H925" s="29"/>
      <c r="I925" s="5" t="s">
        <v>28</v>
      </c>
      <c r="J925" s="5" t="s">
        <v>80</v>
      </c>
      <c r="K925" s="5"/>
    </row>
    <row r="926" spans="1:11" ht="18.75" customHeight="1" x14ac:dyDescent="0.3">
      <c r="A926" s="30">
        <v>944</v>
      </c>
      <c r="B926" s="29"/>
      <c r="C926" s="5" t="s">
        <v>40</v>
      </c>
      <c r="D926" s="7">
        <v>400</v>
      </c>
      <c r="E926" s="31">
        <v>136916</v>
      </c>
      <c r="F926" s="29"/>
      <c r="G926" s="32">
        <v>45491</v>
      </c>
      <c r="H926" s="29"/>
      <c r="I926" s="5" t="s">
        <v>28</v>
      </c>
      <c r="J926" s="5" t="s">
        <v>80</v>
      </c>
      <c r="K926" s="5"/>
    </row>
    <row r="927" spans="1:11" ht="18.75" customHeight="1" x14ac:dyDescent="0.3">
      <c r="A927" s="30">
        <v>945</v>
      </c>
      <c r="B927" s="29"/>
      <c r="C927" s="5" t="s">
        <v>40</v>
      </c>
      <c r="D927" s="7">
        <v>480</v>
      </c>
      <c r="E927" s="31">
        <v>136883</v>
      </c>
      <c r="F927" s="29"/>
      <c r="G927" s="32">
        <v>45491</v>
      </c>
      <c r="H927" s="29"/>
      <c r="I927" s="5" t="s">
        <v>28</v>
      </c>
      <c r="J927" s="5" t="s">
        <v>80</v>
      </c>
      <c r="K927" s="5"/>
    </row>
    <row r="928" spans="1:11" ht="18.75" customHeight="1" x14ac:dyDescent="0.3">
      <c r="A928" s="30">
        <v>946</v>
      </c>
      <c r="B928" s="29"/>
      <c r="C928" s="5" t="s">
        <v>40</v>
      </c>
      <c r="D928" s="7">
        <v>484</v>
      </c>
      <c r="E928" s="31">
        <v>136889</v>
      </c>
      <c r="F928" s="29"/>
      <c r="G928" s="32">
        <v>45491</v>
      </c>
      <c r="H928" s="29"/>
      <c r="I928" s="5" t="s">
        <v>28</v>
      </c>
      <c r="J928" s="5" t="s">
        <v>80</v>
      </c>
      <c r="K928" s="5"/>
    </row>
    <row r="929" spans="1:11" ht="18.75" customHeight="1" x14ac:dyDescent="0.3">
      <c r="A929" s="30">
        <v>947</v>
      </c>
      <c r="B929" s="29"/>
      <c r="C929" s="5" t="s">
        <v>40</v>
      </c>
      <c r="D929" s="7">
        <v>400</v>
      </c>
      <c r="E929" s="31">
        <v>135371</v>
      </c>
      <c r="F929" s="29"/>
      <c r="G929" s="32">
        <v>45492</v>
      </c>
      <c r="H929" s="29"/>
      <c r="I929" s="5" t="s">
        <v>28</v>
      </c>
      <c r="J929" s="5" t="s">
        <v>80</v>
      </c>
      <c r="K929" s="5"/>
    </row>
    <row r="930" spans="1:11" ht="18.75" customHeight="1" x14ac:dyDescent="0.3">
      <c r="A930" s="30">
        <v>948</v>
      </c>
      <c r="B930" s="29"/>
      <c r="C930" s="5" t="s">
        <v>40</v>
      </c>
      <c r="D930" s="7">
        <v>528</v>
      </c>
      <c r="E930" s="31">
        <v>136897</v>
      </c>
      <c r="F930" s="29"/>
      <c r="G930" s="32">
        <v>45492</v>
      </c>
      <c r="H930" s="29"/>
      <c r="I930" s="5" t="s">
        <v>28</v>
      </c>
      <c r="J930" s="5" t="s">
        <v>80</v>
      </c>
      <c r="K930" s="5"/>
    </row>
    <row r="931" spans="1:11" ht="18.75" customHeight="1" x14ac:dyDescent="0.3">
      <c r="A931" s="30">
        <v>949</v>
      </c>
      <c r="B931" s="29"/>
      <c r="C931" s="5" t="s">
        <v>40</v>
      </c>
      <c r="D931" s="7">
        <v>710</v>
      </c>
      <c r="E931" s="31">
        <v>135373</v>
      </c>
      <c r="F931" s="29"/>
      <c r="G931" s="32">
        <v>45493</v>
      </c>
      <c r="H931" s="29"/>
      <c r="I931" s="5" t="s">
        <v>28</v>
      </c>
      <c r="J931" s="5" t="s">
        <v>80</v>
      </c>
      <c r="K931" s="5"/>
    </row>
    <row r="932" spans="1:11" ht="18.75" customHeight="1" x14ac:dyDescent="0.3">
      <c r="A932" s="30">
        <v>950</v>
      </c>
      <c r="B932" s="29"/>
      <c r="C932" s="5" t="s">
        <v>40</v>
      </c>
      <c r="D932" s="7">
        <v>456</v>
      </c>
      <c r="E932" s="31">
        <v>136961</v>
      </c>
      <c r="F932" s="29"/>
      <c r="G932" s="32">
        <v>45493</v>
      </c>
      <c r="H932" s="29"/>
      <c r="I932" s="5" t="s">
        <v>28</v>
      </c>
      <c r="J932" s="5" t="s">
        <v>80</v>
      </c>
      <c r="K932" s="5"/>
    </row>
    <row r="933" spans="1:11" ht="18.75" customHeight="1" x14ac:dyDescent="0.3">
      <c r="A933" s="30">
        <v>951</v>
      </c>
      <c r="B933" s="29"/>
      <c r="C933" s="5" t="s">
        <v>40</v>
      </c>
      <c r="D933" s="7">
        <v>710</v>
      </c>
      <c r="E933" s="31">
        <v>135375</v>
      </c>
      <c r="F933" s="29"/>
      <c r="G933" s="32">
        <v>45495</v>
      </c>
      <c r="H933" s="29"/>
      <c r="I933" s="5" t="s">
        <v>15</v>
      </c>
      <c r="J933" s="5" t="s">
        <v>30</v>
      </c>
      <c r="K933" s="5"/>
    </row>
    <row r="934" spans="1:11" ht="18.75" customHeight="1" x14ac:dyDescent="0.3">
      <c r="A934" s="30">
        <v>952</v>
      </c>
      <c r="B934" s="29"/>
      <c r="C934" s="5" t="s">
        <v>40</v>
      </c>
      <c r="D934" s="7">
        <v>456</v>
      </c>
      <c r="E934" s="31">
        <v>136964</v>
      </c>
      <c r="F934" s="29"/>
      <c r="G934" s="32">
        <v>45495</v>
      </c>
      <c r="H934" s="29"/>
      <c r="I934" s="5" t="s">
        <v>15</v>
      </c>
      <c r="J934" s="5" t="s">
        <v>30</v>
      </c>
      <c r="K934" s="5"/>
    </row>
    <row r="935" spans="1:11" ht="18.75" customHeight="1" x14ac:dyDescent="0.3">
      <c r="A935" s="30">
        <v>953</v>
      </c>
      <c r="B935" s="29"/>
      <c r="C935" s="5" t="s">
        <v>40</v>
      </c>
      <c r="D935" s="7">
        <v>674</v>
      </c>
      <c r="E935" s="31">
        <v>135380</v>
      </c>
      <c r="F935" s="29"/>
      <c r="G935" s="32">
        <v>45496</v>
      </c>
      <c r="H935" s="29"/>
      <c r="I935" s="5" t="s">
        <v>15</v>
      </c>
      <c r="J935" s="5" t="s">
        <v>30</v>
      </c>
      <c r="K935" s="5"/>
    </row>
    <row r="936" spans="1:11" ht="18.75" customHeight="1" x14ac:dyDescent="0.3">
      <c r="A936" s="30">
        <v>954</v>
      </c>
      <c r="B936" s="29"/>
      <c r="C936" s="5" t="s">
        <v>40</v>
      </c>
      <c r="D936" s="7">
        <v>408</v>
      </c>
      <c r="E936" s="31">
        <v>136975</v>
      </c>
      <c r="F936" s="29"/>
      <c r="G936" s="32">
        <v>45496</v>
      </c>
      <c r="H936" s="29"/>
      <c r="I936" s="5" t="s">
        <v>15</v>
      </c>
      <c r="J936" s="5" t="s">
        <v>30</v>
      </c>
      <c r="K936" s="5"/>
    </row>
    <row r="937" spans="1:11" ht="18.75" customHeight="1" x14ac:dyDescent="0.3">
      <c r="A937" s="30">
        <v>955</v>
      </c>
      <c r="B937" s="29"/>
      <c r="C937" s="5" t="s">
        <v>40</v>
      </c>
      <c r="D937" s="7">
        <v>398</v>
      </c>
      <c r="E937" s="31">
        <v>136649</v>
      </c>
      <c r="F937" s="29"/>
      <c r="G937" s="32">
        <v>45497</v>
      </c>
      <c r="H937" s="29"/>
      <c r="I937" s="5" t="s">
        <v>15</v>
      </c>
      <c r="J937" s="5" t="s">
        <v>30</v>
      </c>
      <c r="K937" s="5"/>
    </row>
    <row r="938" spans="1:11" ht="18.75" customHeight="1" x14ac:dyDescent="0.3">
      <c r="A938" s="30">
        <v>956</v>
      </c>
      <c r="B938" s="29"/>
      <c r="C938" s="5" t="s">
        <v>40</v>
      </c>
      <c r="D938" s="7">
        <v>496</v>
      </c>
      <c r="E938" s="31">
        <v>136970</v>
      </c>
      <c r="F938" s="29"/>
      <c r="G938" s="32">
        <v>45496</v>
      </c>
      <c r="H938" s="29"/>
      <c r="I938" s="5" t="s">
        <v>15</v>
      </c>
      <c r="J938" s="5" t="s">
        <v>30</v>
      </c>
      <c r="K938" s="5"/>
    </row>
    <row r="939" spans="1:11" ht="18.75" customHeight="1" x14ac:dyDescent="0.3">
      <c r="A939" s="30">
        <v>957</v>
      </c>
      <c r="B939" s="29"/>
      <c r="C939" s="5" t="s">
        <v>40</v>
      </c>
      <c r="D939" s="7">
        <v>496</v>
      </c>
      <c r="E939" s="31">
        <v>136982</v>
      </c>
      <c r="F939" s="29"/>
      <c r="G939" s="32">
        <v>45497</v>
      </c>
      <c r="H939" s="29"/>
      <c r="I939" s="5" t="s">
        <v>15</v>
      </c>
      <c r="J939" s="5" t="s">
        <v>30</v>
      </c>
      <c r="K939" s="5"/>
    </row>
    <row r="940" spans="1:11" ht="18.75" customHeight="1" x14ac:dyDescent="0.3">
      <c r="A940" s="30">
        <v>958</v>
      </c>
      <c r="B940" s="29"/>
      <c r="C940" s="5" t="s">
        <v>40</v>
      </c>
      <c r="D940" s="7">
        <v>506</v>
      </c>
      <c r="E940" s="31">
        <v>136652</v>
      </c>
      <c r="F940" s="29"/>
      <c r="G940" s="32">
        <v>45498</v>
      </c>
      <c r="H940" s="29"/>
      <c r="I940" s="5" t="s">
        <v>15</v>
      </c>
      <c r="J940" s="5" t="s">
        <v>30</v>
      </c>
      <c r="K940" s="5"/>
    </row>
    <row r="941" spans="1:11" ht="18.75" customHeight="1" x14ac:dyDescent="0.3">
      <c r="A941" s="30">
        <v>959</v>
      </c>
      <c r="B941" s="29"/>
      <c r="C941" s="5" t="s">
        <v>40</v>
      </c>
      <c r="D941" s="7">
        <v>472</v>
      </c>
      <c r="E941" s="31">
        <v>136992</v>
      </c>
      <c r="F941" s="29"/>
      <c r="G941" s="32">
        <v>45498</v>
      </c>
      <c r="H941" s="29"/>
      <c r="I941" s="5" t="s">
        <v>15</v>
      </c>
      <c r="J941" s="5" t="s">
        <v>30</v>
      </c>
      <c r="K941" s="5"/>
    </row>
    <row r="942" spans="1:11" ht="18.75" customHeight="1" x14ac:dyDescent="0.3">
      <c r="A942" s="30">
        <v>960</v>
      </c>
      <c r="B942" s="29"/>
      <c r="C942" s="5" t="s">
        <v>40</v>
      </c>
      <c r="D942" s="7">
        <v>400</v>
      </c>
      <c r="E942" s="31">
        <v>136997</v>
      </c>
      <c r="F942" s="29"/>
      <c r="G942" s="32">
        <v>45499</v>
      </c>
      <c r="H942" s="29"/>
      <c r="I942" s="5" t="s">
        <v>15</v>
      </c>
      <c r="J942" s="5" t="s">
        <v>30</v>
      </c>
      <c r="K942" s="5"/>
    </row>
    <row r="943" spans="1:11" ht="18.75" customHeight="1" x14ac:dyDescent="0.3">
      <c r="A943" s="30">
        <v>961</v>
      </c>
      <c r="B943" s="29"/>
      <c r="C943" s="5" t="s">
        <v>40</v>
      </c>
      <c r="D943" s="7">
        <v>398</v>
      </c>
      <c r="E943" s="31">
        <v>137006</v>
      </c>
      <c r="F943" s="29"/>
      <c r="G943" s="32">
        <v>45500</v>
      </c>
      <c r="H943" s="29"/>
      <c r="I943" s="5" t="s">
        <v>15</v>
      </c>
      <c r="J943" s="5" t="s">
        <v>30</v>
      </c>
      <c r="K943" s="5"/>
    </row>
    <row r="944" spans="1:11" ht="18.75" customHeight="1" x14ac:dyDescent="0.3">
      <c r="A944" s="30">
        <v>962</v>
      </c>
      <c r="B944" s="29"/>
      <c r="C944" s="5" t="s">
        <v>40</v>
      </c>
      <c r="D944" s="7">
        <v>680</v>
      </c>
      <c r="E944" s="31">
        <v>136659</v>
      </c>
      <c r="F944" s="29"/>
      <c r="G944" s="32">
        <v>45500</v>
      </c>
      <c r="H944" s="29"/>
      <c r="I944" s="5" t="s">
        <v>15</v>
      </c>
      <c r="J944" s="5" t="s">
        <v>30</v>
      </c>
      <c r="K944" s="5"/>
    </row>
    <row r="945" spans="1:11" ht="18.75" customHeight="1" x14ac:dyDescent="0.3">
      <c r="A945" s="30">
        <v>963</v>
      </c>
      <c r="B945" s="29"/>
      <c r="C945" s="5" t="s">
        <v>40</v>
      </c>
      <c r="D945" s="7">
        <v>480</v>
      </c>
      <c r="E945" s="31">
        <v>136645</v>
      </c>
      <c r="F945" s="29"/>
      <c r="G945" s="32">
        <v>45495</v>
      </c>
      <c r="H945" s="29"/>
      <c r="I945" s="5" t="s">
        <v>28</v>
      </c>
      <c r="J945" s="5" t="s">
        <v>80</v>
      </c>
      <c r="K945" s="5"/>
    </row>
    <row r="946" spans="1:11" ht="18.75" customHeight="1" x14ac:dyDescent="0.3">
      <c r="A946" s="30">
        <v>964</v>
      </c>
      <c r="B946" s="29"/>
      <c r="C946" s="5" t="s">
        <v>40</v>
      </c>
      <c r="D946" s="7">
        <v>490</v>
      </c>
      <c r="E946" s="31">
        <v>136922</v>
      </c>
      <c r="F946" s="29"/>
      <c r="G946" s="32">
        <v>45495</v>
      </c>
      <c r="H946" s="29"/>
      <c r="I946" s="5" t="s">
        <v>28</v>
      </c>
      <c r="J946" s="5" t="s">
        <v>80</v>
      </c>
      <c r="K946" s="5"/>
    </row>
    <row r="947" spans="1:11" ht="18.75" customHeight="1" x14ac:dyDescent="0.3">
      <c r="A947" s="30">
        <v>965</v>
      </c>
      <c r="B947" s="29"/>
      <c r="C947" s="5" t="s">
        <v>40</v>
      </c>
      <c r="D947" s="7">
        <v>400</v>
      </c>
      <c r="E947" s="31">
        <v>135384</v>
      </c>
      <c r="F947" s="29"/>
      <c r="G947" s="32">
        <v>45496</v>
      </c>
      <c r="H947" s="29"/>
      <c r="I947" s="5" t="s">
        <v>28</v>
      </c>
      <c r="J947" s="5" t="s">
        <v>80</v>
      </c>
      <c r="K947" s="5"/>
    </row>
    <row r="948" spans="1:11" ht="18.75" customHeight="1" x14ac:dyDescent="0.3">
      <c r="A948" s="30">
        <v>966</v>
      </c>
      <c r="B948" s="29"/>
      <c r="C948" s="5" t="s">
        <v>40</v>
      </c>
      <c r="D948" s="7">
        <v>400</v>
      </c>
      <c r="E948" s="31">
        <v>136972</v>
      </c>
      <c r="F948" s="29"/>
      <c r="G948" s="32">
        <v>45496</v>
      </c>
      <c r="H948" s="29"/>
      <c r="I948" s="5" t="s">
        <v>28</v>
      </c>
      <c r="J948" s="5" t="s">
        <v>80</v>
      </c>
      <c r="K948" s="5"/>
    </row>
    <row r="949" spans="1:11" ht="18.75" customHeight="1" x14ac:dyDescent="0.3">
      <c r="A949" s="30">
        <v>967</v>
      </c>
      <c r="B949" s="29"/>
      <c r="C949" s="5" t="s">
        <v>40</v>
      </c>
      <c r="D949" s="7">
        <v>383</v>
      </c>
      <c r="E949" s="31">
        <v>136924</v>
      </c>
      <c r="F949" s="29"/>
      <c r="G949" s="32">
        <v>45497</v>
      </c>
      <c r="H949" s="29"/>
      <c r="I949" s="5" t="s">
        <v>28</v>
      </c>
      <c r="J949" s="5" t="s">
        <v>80</v>
      </c>
      <c r="K949" s="5"/>
    </row>
    <row r="950" spans="1:11" ht="18.75" customHeight="1" x14ac:dyDescent="0.3">
      <c r="A950" s="30">
        <v>968</v>
      </c>
      <c r="B950" s="29"/>
      <c r="C950" s="5" t="s">
        <v>40</v>
      </c>
      <c r="D950" s="7">
        <v>385</v>
      </c>
      <c r="E950" s="31">
        <v>136981</v>
      </c>
      <c r="F950" s="29"/>
      <c r="G950" s="32">
        <v>45497</v>
      </c>
      <c r="H950" s="29"/>
      <c r="I950" s="5" t="s">
        <v>28</v>
      </c>
      <c r="J950" s="5" t="s">
        <v>80</v>
      </c>
      <c r="K950" s="5"/>
    </row>
    <row r="951" spans="1:11" ht="18.75" customHeight="1" x14ac:dyDescent="0.3">
      <c r="A951" s="30">
        <v>969</v>
      </c>
      <c r="B951" s="29"/>
      <c r="C951" s="5" t="s">
        <v>40</v>
      </c>
      <c r="D951" s="7">
        <v>336</v>
      </c>
      <c r="E951" s="31">
        <v>136986</v>
      </c>
      <c r="F951" s="29"/>
      <c r="G951" s="32">
        <v>45497</v>
      </c>
      <c r="H951" s="29"/>
      <c r="I951" s="5" t="s">
        <v>28</v>
      </c>
      <c r="J951" s="5" t="s">
        <v>80</v>
      </c>
      <c r="K951" s="5"/>
    </row>
    <row r="952" spans="1:11" ht="18.75" customHeight="1" x14ac:dyDescent="0.3">
      <c r="A952" s="30">
        <v>970</v>
      </c>
      <c r="B952" s="29"/>
      <c r="C952" s="5" t="s">
        <v>40</v>
      </c>
      <c r="D952" s="7">
        <v>472</v>
      </c>
      <c r="E952" s="31">
        <v>136989</v>
      </c>
      <c r="F952" s="29"/>
      <c r="G952" s="32">
        <v>45498</v>
      </c>
      <c r="H952" s="29"/>
      <c r="I952" s="5" t="s">
        <v>28</v>
      </c>
      <c r="J952" s="5" t="s">
        <v>80</v>
      </c>
      <c r="K952" s="5"/>
    </row>
    <row r="953" spans="1:11" ht="18.75" customHeight="1" x14ac:dyDescent="0.3">
      <c r="A953" s="30">
        <v>971</v>
      </c>
      <c r="B953" s="29"/>
      <c r="C953" s="5" t="s">
        <v>40</v>
      </c>
      <c r="D953" s="7">
        <v>451</v>
      </c>
      <c r="E953" s="31">
        <v>136654</v>
      </c>
      <c r="F953" s="29"/>
      <c r="G953" s="32">
        <v>45498</v>
      </c>
      <c r="H953" s="29"/>
      <c r="I953" s="5" t="s">
        <v>28</v>
      </c>
      <c r="J953" s="5" t="s">
        <v>80</v>
      </c>
      <c r="K953" s="5"/>
    </row>
    <row r="954" spans="1:11" ht="18.75" customHeight="1" x14ac:dyDescent="0.3">
      <c r="A954" s="30">
        <v>972</v>
      </c>
      <c r="B954" s="29"/>
      <c r="C954" s="5" t="s">
        <v>40</v>
      </c>
      <c r="D954" s="7">
        <v>388</v>
      </c>
      <c r="E954" s="31">
        <v>137002</v>
      </c>
      <c r="F954" s="29"/>
      <c r="G954" s="32">
        <v>45499</v>
      </c>
      <c r="H954" s="29"/>
      <c r="I954" s="5" t="s">
        <v>28</v>
      </c>
      <c r="J954" s="5" t="s">
        <v>80</v>
      </c>
      <c r="K954" s="5"/>
    </row>
    <row r="955" spans="1:11" ht="18.75" customHeight="1" x14ac:dyDescent="0.3">
      <c r="A955" s="30">
        <v>973</v>
      </c>
      <c r="B955" s="29"/>
      <c r="C955" s="5" t="s">
        <v>40</v>
      </c>
      <c r="D955" s="7">
        <v>384</v>
      </c>
      <c r="E955" s="31">
        <v>137009</v>
      </c>
      <c r="F955" s="29"/>
      <c r="G955" s="32">
        <v>45500</v>
      </c>
      <c r="H955" s="29"/>
      <c r="I955" s="5" t="s">
        <v>28</v>
      </c>
      <c r="J955" s="5" t="s">
        <v>80</v>
      </c>
      <c r="K955" s="5"/>
    </row>
    <row r="956" spans="1:11" ht="18.75" customHeight="1" x14ac:dyDescent="0.3">
      <c r="A956" s="30">
        <v>974</v>
      </c>
      <c r="B956" s="29"/>
      <c r="C956" s="5" t="s">
        <v>14</v>
      </c>
      <c r="D956" s="7">
        <v>263</v>
      </c>
      <c r="E956" s="31">
        <v>20689</v>
      </c>
      <c r="F956" s="29"/>
      <c r="G956" s="32">
        <v>45495</v>
      </c>
      <c r="H956" s="29"/>
      <c r="I956" s="5" t="s">
        <v>69</v>
      </c>
      <c r="J956" s="5" t="s">
        <v>79</v>
      </c>
      <c r="K956" s="5" t="s">
        <v>82</v>
      </c>
    </row>
    <row r="957" spans="1:11" ht="18.75" customHeight="1" x14ac:dyDescent="0.3">
      <c r="A957" s="30">
        <v>975</v>
      </c>
      <c r="B957" s="29"/>
      <c r="C957" s="5" t="s">
        <v>14</v>
      </c>
      <c r="D957" s="7">
        <v>190</v>
      </c>
      <c r="E957" s="31">
        <v>20701</v>
      </c>
      <c r="F957" s="29"/>
      <c r="G957" s="32">
        <v>45496</v>
      </c>
      <c r="H957" s="29"/>
      <c r="I957" s="5" t="s">
        <v>69</v>
      </c>
      <c r="J957" s="5" t="s">
        <v>79</v>
      </c>
      <c r="K957" s="5" t="s">
        <v>82</v>
      </c>
    </row>
    <row r="958" spans="1:11" ht="18.75" customHeight="1" x14ac:dyDescent="0.3">
      <c r="A958" s="30">
        <v>976</v>
      </c>
      <c r="B958" s="29"/>
      <c r="C958" s="5" t="s">
        <v>14</v>
      </c>
      <c r="D958" s="7">
        <v>197</v>
      </c>
      <c r="E958" s="31">
        <v>20711</v>
      </c>
      <c r="F958" s="29"/>
      <c r="G958" s="32">
        <v>45497</v>
      </c>
      <c r="H958" s="29"/>
      <c r="I958" s="5" t="s">
        <v>69</v>
      </c>
      <c r="J958" s="5" t="s">
        <v>79</v>
      </c>
      <c r="K958" s="5" t="s">
        <v>82</v>
      </c>
    </row>
    <row r="959" spans="1:11" ht="18.75" customHeight="1" x14ac:dyDescent="0.3">
      <c r="A959" s="30">
        <v>977</v>
      </c>
      <c r="B959" s="29"/>
      <c r="C959" s="5" t="s">
        <v>14</v>
      </c>
      <c r="D959" s="7">
        <v>183</v>
      </c>
      <c r="E959" s="31">
        <v>20721</v>
      </c>
      <c r="F959" s="29"/>
      <c r="G959" s="32">
        <v>45498</v>
      </c>
      <c r="H959" s="29"/>
      <c r="I959" s="5" t="s">
        <v>69</v>
      </c>
      <c r="J959" s="5" t="s">
        <v>79</v>
      </c>
      <c r="K959" s="5" t="s">
        <v>82</v>
      </c>
    </row>
    <row r="960" spans="1:11" ht="18.75" customHeight="1" x14ac:dyDescent="0.3">
      <c r="A960" s="30">
        <v>978</v>
      </c>
      <c r="B960" s="29"/>
      <c r="C960" s="5" t="s">
        <v>14</v>
      </c>
      <c r="D960" s="7">
        <v>193</v>
      </c>
      <c r="E960" s="31">
        <v>20737</v>
      </c>
      <c r="F960" s="29"/>
      <c r="G960" s="32">
        <v>45499</v>
      </c>
      <c r="H960" s="29"/>
      <c r="I960" s="5" t="s">
        <v>69</v>
      </c>
      <c r="J960" s="5" t="s">
        <v>79</v>
      </c>
      <c r="K960" s="5" t="s">
        <v>82</v>
      </c>
    </row>
    <row r="961" spans="1:11" ht="18.75" customHeight="1" x14ac:dyDescent="0.3">
      <c r="A961" s="30">
        <v>979</v>
      </c>
      <c r="B961" s="29"/>
      <c r="C961" s="5" t="s">
        <v>14</v>
      </c>
      <c r="D961" s="7">
        <v>209</v>
      </c>
      <c r="E961" s="31">
        <v>20746</v>
      </c>
      <c r="F961" s="29"/>
      <c r="G961" s="32">
        <v>45500</v>
      </c>
      <c r="H961" s="29"/>
      <c r="I961" s="5" t="s">
        <v>69</v>
      </c>
      <c r="J961" s="5" t="s">
        <v>79</v>
      </c>
      <c r="K961" s="5" t="s">
        <v>82</v>
      </c>
    </row>
    <row r="962" spans="1:11" ht="18.75" customHeight="1" x14ac:dyDescent="0.3">
      <c r="A962" s="30">
        <v>980</v>
      </c>
      <c r="B962" s="29"/>
      <c r="C962" s="5" t="s">
        <v>14</v>
      </c>
      <c r="D962" s="7">
        <f>267+39</f>
        <v>306</v>
      </c>
      <c r="E962" s="31">
        <v>20773</v>
      </c>
      <c r="F962" s="29"/>
      <c r="G962" s="32">
        <v>45502</v>
      </c>
      <c r="H962" s="29"/>
      <c r="I962" s="5" t="s">
        <v>69</v>
      </c>
      <c r="J962" s="5" t="s">
        <v>79</v>
      </c>
      <c r="K962" s="5" t="s">
        <v>82</v>
      </c>
    </row>
    <row r="963" spans="1:11" ht="18.75" customHeight="1" x14ac:dyDescent="0.3">
      <c r="A963" s="30">
        <v>981</v>
      </c>
      <c r="B963" s="29"/>
      <c r="C963" s="5" t="s">
        <v>14</v>
      </c>
      <c r="D963" s="7">
        <v>289</v>
      </c>
      <c r="E963" s="31">
        <v>20784</v>
      </c>
      <c r="F963" s="29"/>
      <c r="G963" s="32">
        <v>45503</v>
      </c>
      <c r="H963" s="29"/>
      <c r="I963" s="5" t="s">
        <v>69</v>
      </c>
      <c r="J963" s="5" t="s">
        <v>79</v>
      </c>
      <c r="K963" s="5" t="s">
        <v>82</v>
      </c>
    </row>
    <row r="964" spans="1:11" ht="18.75" customHeight="1" x14ac:dyDescent="0.3">
      <c r="A964" s="30">
        <v>982</v>
      </c>
      <c r="B964" s="29"/>
      <c r="C964" s="5" t="s">
        <v>14</v>
      </c>
      <c r="D964" s="7">
        <v>345</v>
      </c>
      <c r="E964" s="31">
        <v>20794</v>
      </c>
      <c r="F964" s="29"/>
      <c r="G964" s="32">
        <v>45504</v>
      </c>
      <c r="H964" s="29"/>
      <c r="I964" s="5" t="s">
        <v>69</v>
      </c>
      <c r="J964" s="5" t="s">
        <v>79</v>
      </c>
      <c r="K964" s="5" t="s">
        <v>82</v>
      </c>
    </row>
    <row r="965" spans="1:11" ht="18.75" customHeight="1" x14ac:dyDescent="0.3">
      <c r="A965" s="30">
        <v>983</v>
      </c>
      <c r="B965" s="29"/>
      <c r="C965" s="5" t="s">
        <v>14</v>
      </c>
      <c r="D965" s="7">
        <v>259</v>
      </c>
      <c r="E965" s="31">
        <v>20803</v>
      </c>
      <c r="F965" s="29"/>
      <c r="G965" s="32">
        <v>45505</v>
      </c>
      <c r="H965" s="29"/>
      <c r="I965" s="5" t="s">
        <v>69</v>
      </c>
      <c r="J965" s="5" t="s">
        <v>79</v>
      </c>
      <c r="K965" s="5" t="s">
        <v>82</v>
      </c>
    </row>
    <row r="966" spans="1:11" ht="18.75" customHeight="1" x14ac:dyDescent="0.3">
      <c r="A966" s="30">
        <v>984</v>
      </c>
      <c r="B966" s="29"/>
      <c r="C966" s="5" t="s">
        <v>14</v>
      </c>
      <c r="D966" s="7">
        <f>337+69</f>
        <v>406</v>
      </c>
      <c r="E966" s="31">
        <v>108006</v>
      </c>
      <c r="F966" s="29"/>
      <c r="G966" s="32">
        <v>45506</v>
      </c>
      <c r="H966" s="29"/>
      <c r="I966" s="5" t="s">
        <v>69</v>
      </c>
      <c r="J966" s="5" t="s">
        <v>79</v>
      </c>
      <c r="K966" s="5" t="s">
        <v>82</v>
      </c>
    </row>
    <row r="967" spans="1:11" ht="18.75" customHeight="1" x14ac:dyDescent="0.3">
      <c r="A967" s="30">
        <v>985</v>
      </c>
      <c r="B967" s="29"/>
      <c r="C967" s="5" t="s">
        <v>14</v>
      </c>
      <c r="D967" s="7">
        <v>256</v>
      </c>
      <c r="E967" s="31">
        <v>20826</v>
      </c>
      <c r="F967" s="29"/>
      <c r="G967" s="32">
        <v>45507</v>
      </c>
      <c r="H967" s="29"/>
      <c r="I967" s="5" t="s">
        <v>69</v>
      </c>
      <c r="J967" s="5" t="s">
        <v>79</v>
      </c>
      <c r="K967" s="5" t="s">
        <v>82</v>
      </c>
    </row>
    <row r="968" spans="1:11" ht="18.75" customHeight="1" x14ac:dyDescent="0.3">
      <c r="A968" s="30">
        <v>986</v>
      </c>
      <c r="B968" s="29"/>
      <c r="C968" s="5" t="s">
        <v>40</v>
      </c>
      <c r="D968" s="7">
        <v>294</v>
      </c>
      <c r="E968" s="31">
        <v>137017</v>
      </c>
      <c r="F968" s="29"/>
      <c r="G968" s="32">
        <v>45502</v>
      </c>
      <c r="H968" s="29"/>
      <c r="I968" s="5" t="s">
        <v>15</v>
      </c>
      <c r="J968" s="5" t="s">
        <v>30</v>
      </c>
      <c r="K968" s="5"/>
    </row>
    <row r="969" spans="1:11" ht="18.75" customHeight="1" x14ac:dyDescent="0.3">
      <c r="A969" s="30">
        <v>987</v>
      </c>
      <c r="B969" s="29"/>
      <c r="C969" s="5" t="s">
        <v>40</v>
      </c>
      <c r="D969" s="7">
        <v>405</v>
      </c>
      <c r="E969" s="31">
        <v>136662</v>
      </c>
      <c r="F969" s="29"/>
      <c r="G969" s="32">
        <v>45503</v>
      </c>
      <c r="H969" s="29"/>
      <c r="I969" s="5" t="s">
        <v>15</v>
      </c>
      <c r="J969" s="5" t="s">
        <v>30</v>
      </c>
      <c r="K969" s="5"/>
    </row>
    <row r="970" spans="1:11" ht="18.75" customHeight="1" x14ac:dyDescent="0.3">
      <c r="A970" s="30">
        <v>988</v>
      </c>
      <c r="B970" s="29"/>
      <c r="C970" s="5" t="s">
        <v>40</v>
      </c>
      <c r="D970" s="7">
        <v>320</v>
      </c>
      <c r="E970" s="31">
        <v>137023</v>
      </c>
      <c r="F970" s="29"/>
      <c r="G970" s="32">
        <v>45504</v>
      </c>
      <c r="H970" s="29"/>
      <c r="I970" s="5" t="s">
        <v>15</v>
      </c>
      <c r="J970" s="5" t="s">
        <v>30</v>
      </c>
      <c r="K970" s="5"/>
    </row>
    <row r="971" spans="1:11" ht="18.75" customHeight="1" x14ac:dyDescent="0.3">
      <c r="A971" s="30">
        <v>989</v>
      </c>
      <c r="B971" s="29"/>
      <c r="C971" s="5" t="s">
        <v>40</v>
      </c>
      <c r="D971" s="7">
        <v>697</v>
      </c>
      <c r="E971" s="31">
        <v>136666</v>
      </c>
      <c r="F971" s="29"/>
      <c r="G971" s="32">
        <v>45504</v>
      </c>
      <c r="H971" s="29"/>
      <c r="I971" s="5" t="s">
        <v>15</v>
      </c>
      <c r="J971" s="5" t="s">
        <v>30</v>
      </c>
      <c r="K971" s="5"/>
    </row>
    <row r="972" spans="1:11" ht="18.75" customHeight="1" x14ac:dyDescent="0.3">
      <c r="A972" s="30">
        <v>990</v>
      </c>
      <c r="B972" s="29"/>
      <c r="C972" s="5" t="s">
        <v>40</v>
      </c>
      <c r="D972" s="7">
        <v>420</v>
      </c>
      <c r="E972" s="31">
        <v>137034</v>
      </c>
      <c r="F972" s="29"/>
      <c r="G972" s="32">
        <v>45505</v>
      </c>
      <c r="H972" s="29"/>
      <c r="I972" s="5" t="s">
        <v>15</v>
      </c>
      <c r="J972" s="5" t="s">
        <v>30</v>
      </c>
      <c r="K972" s="5"/>
    </row>
    <row r="973" spans="1:11" ht="18.75" customHeight="1" x14ac:dyDescent="0.3">
      <c r="A973" s="30">
        <v>991</v>
      </c>
      <c r="B973" s="29"/>
      <c r="C973" s="5" t="s">
        <v>40</v>
      </c>
      <c r="D973" s="7">
        <v>380</v>
      </c>
      <c r="E973" s="31">
        <v>136670</v>
      </c>
      <c r="F973" s="29"/>
      <c r="G973" s="32">
        <v>45505</v>
      </c>
      <c r="H973" s="29"/>
      <c r="I973" s="5" t="s">
        <v>15</v>
      </c>
      <c r="J973" s="5" t="s">
        <v>30</v>
      </c>
      <c r="K973" s="5"/>
    </row>
    <row r="974" spans="1:11" ht="18.75" customHeight="1" x14ac:dyDescent="0.3">
      <c r="A974" s="30">
        <v>992</v>
      </c>
      <c r="B974" s="29"/>
      <c r="C974" s="5" t="s">
        <v>40</v>
      </c>
      <c r="D974" s="7">
        <v>385</v>
      </c>
      <c r="E974" s="31">
        <v>137049</v>
      </c>
      <c r="F974" s="29"/>
      <c r="G974" s="32">
        <v>45506</v>
      </c>
      <c r="H974" s="29"/>
      <c r="I974" s="5" t="s">
        <v>15</v>
      </c>
      <c r="J974" s="5" t="s">
        <v>30</v>
      </c>
      <c r="K974" s="5"/>
    </row>
    <row r="975" spans="1:11" ht="18.75" customHeight="1" x14ac:dyDescent="0.3">
      <c r="A975" s="30">
        <v>993</v>
      </c>
      <c r="B975" s="29"/>
      <c r="C975" s="5" t="s">
        <v>40</v>
      </c>
      <c r="D975" s="7">
        <v>390</v>
      </c>
      <c r="E975" s="31">
        <v>136936</v>
      </c>
      <c r="F975" s="29"/>
      <c r="G975" s="32">
        <v>45507</v>
      </c>
      <c r="H975" s="29"/>
      <c r="I975" s="5" t="s">
        <v>15</v>
      </c>
      <c r="J975" s="5" t="s">
        <v>30</v>
      </c>
      <c r="K975" s="5"/>
    </row>
    <row r="976" spans="1:11" ht="18.75" customHeight="1" x14ac:dyDescent="0.3">
      <c r="A976" s="30">
        <v>994</v>
      </c>
      <c r="B976" s="29"/>
      <c r="C976" s="5" t="s">
        <v>40</v>
      </c>
      <c r="D976" s="7">
        <v>350</v>
      </c>
      <c r="E976" s="31">
        <v>136678</v>
      </c>
      <c r="F976" s="29"/>
      <c r="G976" s="32">
        <v>45507</v>
      </c>
      <c r="H976" s="29"/>
      <c r="I976" s="5" t="s">
        <v>15</v>
      </c>
      <c r="J976" s="5" t="s">
        <v>30</v>
      </c>
      <c r="K976" s="5"/>
    </row>
    <row r="977" spans="1:11" ht="18.75" customHeight="1" x14ac:dyDescent="0.3">
      <c r="A977" s="30">
        <v>995</v>
      </c>
      <c r="B977" s="29"/>
      <c r="C977" s="5" t="s">
        <v>40</v>
      </c>
      <c r="D977" s="7">
        <v>364</v>
      </c>
      <c r="E977" s="31">
        <v>137015</v>
      </c>
      <c r="F977" s="29"/>
      <c r="G977" s="32">
        <v>45502</v>
      </c>
      <c r="H977" s="29"/>
      <c r="I977" s="5" t="s">
        <v>28</v>
      </c>
      <c r="J977" s="5" t="s">
        <v>80</v>
      </c>
      <c r="K977" s="5"/>
    </row>
    <row r="978" spans="1:11" ht="18.75" customHeight="1" x14ac:dyDescent="0.3">
      <c r="A978" s="30">
        <v>996</v>
      </c>
      <c r="B978" s="29"/>
      <c r="C978" s="5" t="s">
        <v>40</v>
      </c>
      <c r="D978" s="7">
        <v>680</v>
      </c>
      <c r="E978" s="31">
        <v>136661</v>
      </c>
      <c r="F978" s="29"/>
      <c r="G978" s="32">
        <v>45502</v>
      </c>
      <c r="H978" s="29"/>
      <c r="I978" s="5" t="s">
        <v>28</v>
      </c>
      <c r="J978" s="5" t="s">
        <v>80</v>
      </c>
      <c r="K978" s="5"/>
    </row>
    <row r="979" spans="1:11" ht="18.75" customHeight="1" x14ac:dyDescent="0.3">
      <c r="A979" s="30">
        <v>997</v>
      </c>
      <c r="B979" s="29"/>
      <c r="C979" s="5" t="s">
        <v>40</v>
      </c>
      <c r="D979" s="7">
        <v>398</v>
      </c>
      <c r="E979" s="31">
        <v>136664</v>
      </c>
      <c r="F979" s="29"/>
      <c r="G979" s="32">
        <v>45503</v>
      </c>
      <c r="H979" s="29"/>
      <c r="I979" s="5" t="s">
        <v>28</v>
      </c>
      <c r="J979" s="5" t="s">
        <v>80</v>
      </c>
      <c r="K979" s="5"/>
    </row>
    <row r="980" spans="1:11" ht="18.75" customHeight="1" x14ac:dyDescent="0.3">
      <c r="A980" s="30">
        <v>998</v>
      </c>
      <c r="B980" s="29"/>
      <c r="C980" s="5" t="s">
        <v>40</v>
      </c>
      <c r="D980" s="7">
        <v>512</v>
      </c>
      <c r="E980" s="31">
        <v>137027</v>
      </c>
      <c r="F980" s="29"/>
      <c r="G980" s="32">
        <v>45504</v>
      </c>
      <c r="H980" s="29"/>
      <c r="I980" s="5" t="s">
        <v>28</v>
      </c>
      <c r="J980" s="5" t="s">
        <v>80</v>
      </c>
      <c r="K980" s="5"/>
    </row>
    <row r="981" spans="1:11" ht="18.75" customHeight="1" x14ac:dyDescent="0.3">
      <c r="A981" s="30">
        <v>999</v>
      </c>
      <c r="B981" s="29"/>
      <c r="C981" s="5" t="s">
        <v>40</v>
      </c>
      <c r="D981" s="7">
        <v>528</v>
      </c>
      <c r="E981" s="31">
        <v>137032</v>
      </c>
      <c r="F981" s="29"/>
      <c r="G981" s="32">
        <v>45504</v>
      </c>
      <c r="H981" s="29"/>
      <c r="I981" s="5" t="s">
        <v>28</v>
      </c>
      <c r="J981" s="5" t="s">
        <v>80</v>
      </c>
      <c r="K981" s="5"/>
    </row>
    <row r="982" spans="1:11" ht="18.75" customHeight="1" x14ac:dyDescent="0.3">
      <c r="A982" s="30">
        <v>1000</v>
      </c>
      <c r="B982" s="29"/>
      <c r="C982" s="5" t="s">
        <v>40</v>
      </c>
      <c r="D982" s="7">
        <v>356</v>
      </c>
      <c r="E982" s="31">
        <v>137039</v>
      </c>
      <c r="F982" s="29"/>
      <c r="G982" s="32">
        <v>45505</v>
      </c>
      <c r="H982" s="29"/>
      <c r="I982" s="5" t="s">
        <v>28</v>
      </c>
      <c r="J982" s="5" t="s">
        <v>80</v>
      </c>
      <c r="K982" s="5"/>
    </row>
    <row r="983" spans="1:11" ht="18.75" customHeight="1" x14ac:dyDescent="0.3">
      <c r="A983" s="30">
        <v>1001</v>
      </c>
      <c r="B983" s="29"/>
      <c r="C983" s="5" t="s">
        <v>40</v>
      </c>
      <c r="D983" s="7">
        <v>521</v>
      </c>
      <c r="E983" s="31">
        <v>136672</v>
      </c>
      <c r="F983" s="29"/>
      <c r="G983" s="32">
        <v>45506</v>
      </c>
      <c r="H983" s="29"/>
      <c r="I983" s="5" t="s">
        <v>28</v>
      </c>
      <c r="J983" s="5" t="s">
        <v>80</v>
      </c>
      <c r="K983" s="5"/>
    </row>
    <row r="984" spans="1:11" ht="18.75" customHeight="1" x14ac:dyDescent="0.3">
      <c r="A984" s="30">
        <v>1002</v>
      </c>
      <c r="B984" s="29"/>
      <c r="C984" s="5" t="s">
        <v>40</v>
      </c>
      <c r="D984" s="7">
        <v>349</v>
      </c>
      <c r="E984" s="31">
        <v>136676</v>
      </c>
      <c r="F984" s="29"/>
      <c r="G984" s="32">
        <v>45506</v>
      </c>
      <c r="H984" s="29"/>
      <c r="I984" s="5" t="s">
        <v>28</v>
      </c>
      <c r="J984" s="5" t="s">
        <v>80</v>
      </c>
      <c r="K984" s="5"/>
    </row>
    <row r="985" spans="1:11" ht="18.75" customHeight="1" x14ac:dyDescent="0.3">
      <c r="A985" s="30">
        <v>1003</v>
      </c>
      <c r="B985" s="29"/>
      <c r="C985" s="5" t="s">
        <v>40</v>
      </c>
      <c r="D985" s="7">
        <v>400</v>
      </c>
      <c r="E985" s="31">
        <v>137261</v>
      </c>
      <c r="F985" s="29"/>
      <c r="G985" s="32">
        <v>45507</v>
      </c>
      <c r="H985" s="29"/>
      <c r="I985" s="5" t="s">
        <v>28</v>
      </c>
      <c r="J985" s="5" t="s">
        <v>80</v>
      </c>
      <c r="K985" s="5"/>
    </row>
    <row r="986" spans="1:11" ht="18.75" customHeight="1" x14ac:dyDescent="0.3">
      <c r="A986" s="30">
        <v>1004</v>
      </c>
      <c r="B986" s="29"/>
      <c r="C986" s="5" t="s">
        <v>14</v>
      </c>
      <c r="D986" s="7">
        <v>304</v>
      </c>
      <c r="E986" s="31">
        <v>20844</v>
      </c>
      <c r="F986" s="29"/>
      <c r="G986" s="32">
        <v>45509</v>
      </c>
      <c r="H986" s="29"/>
      <c r="I986" s="5" t="s">
        <v>69</v>
      </c>
      <c r="J986" s="5" t="s">
        <v>79</v>
      </c>
      <c r="K986" s="5" t="s">
        <v>82</v>
      </c>
    </row>
    <row r="987" spans="1:11" ht="18.75" customHeight="1" x14ac:dyDescent="0.3">
      <c r="A987" s="30">
        <v>1005</v>
      </c>
      <c r="B987" s="29"/>
      <c r="C987" s="5" t="s">
        <v>14</v>
      </c>
      <c r="D987" s="7">
        <v>279</v>
      </c>
      <c r="E987" s="31">
        <v>20857</v>
      </c>
      <c r="F987" s="29"/>
      <c r="G987" s="32">
        <v>45510</v>
      </c>
      <c r="H987" s="29"/>
      <c r="I987" s="5" t="s">
        <v>69</v>
      </c>
      <c r="J987" s="5" t="s">
        <v>79</v>
      </c>
      <c r="K987" s="5" t="s">
        <v>82</v>
      </c>
    </row>
    <row r="988" spans="1:11" ht="18.75" customHeight="1" x14ac:dyDescent="0.3">
      <c r="A988" s="30">
        <v>1006</v>
      </c>
      <c r="B988" s="29"/>
      <c r="C988" s="5" t="s">
        <v>40</v>
      </c>
      <c r="D988" s="7">
        <v>525</v>
      </c>
      <c r="E988" s="31">
        <v>137266</v>
      </c>
      <c r="F988" s="29"/>
      <c r="G988" s="32">
        <v>45510</v>
      </c>
      <c r="H988" s="29"/>
      <c r="I988" s="5" t="s">
        <v>15</v>
      </c>
      <c r="J988" s="5" t="s">
        <v>30</v>
      </c>
      <c r="K988" s="5"/>
    </row>
    <row r="989" spans="1:11" ht="18.75" customHeight="1" x14ac:dyDescent="0.3">
      <c r="A989" s="30">
        <v>1007</v>
      </c>
      <c r="B989" s="29"/>
      <c r="C989" s="5" t="s">
        <v>40</v>
      </c>
      <c r="D989" s="7">
        <v>360</v>
      </c>
      <c r="E989" s="31">
        <v>136679</v>
      </c>
      <c r="F989" s="29"/>
      <c r="G989" s="32">
        <v>45511</v>
      </c>
      <c r="H989" s="29"/>
      <c r="I989" s="5" t="s">
        <v>15</v>
      </c>
      <c r="J989" s="5" t="s">
        <v>30</v>
      </c>
      <c r="K989" s="5"/>
    </row>
    <row r="990" spans="1:11" ht="18.75" customHeight="1" x14ac:dyDescent="0.3">
      <c r="A990" s="30">
        <v>1008</v>
      </c>
      <c r="B990" s="29"/>
      <c r="C990" s="5" t="s">
        <v>40</v>
      </c>
      <c r="D990" s="7">
        <v>440</v>
      </c>
      <c r="E990" s="31">
        <v>137271</v>
      </c>
      <c r="F990" s="29"/>
      <c r="G990" s="32">
        <v>45511</v>
      </c>
      <c r="H990" s="29"/>
      <c r="I990" s="5" t="s">
        <v>15</v>
      </c>
      <c r="J990" s="5" t="s">
        <v>30</v>
      </c>
      <c r="K990" s="5"/>
    </row>
    <row r="991" spans="1:11" ht="18.75" customHeight="1" x14ac:dyDescent="0.3">
      <c r="A991" s="30">
        <v>1009</v>
      </c>
      <c r="B991" s="29"/>
      <c r="C991" s="5" t="s">
        <v>40</v>
      </c>
      <c r="D991" s="7">
        <v>365</v>
      </c>
      <c r="E991" s="31">
        <v>136685</v>
      </c>
      <c r="F991" s="29"/>
      <c r="G991" s="32">
        <v>45512</v>
      </c>
      <c r="H991" s="29"/>
      <c r="I991" s="5" t="s">
        <v>15</v>
      </c>
      <c r="J991" s="5" t="s">
        <v>30</v>
      </c>
      <c r="K991" s="5"/>
    </row>
    <row r="992" spans="1:11" ht="18.75" customHeight="1" x14ac:dyDescent="0.3">
      <c r="A992" s="30">
        <v>1010</v>
      </c>
      <c r="B992" s="29"/>
      <c r="C992" s="5" t="s">
        <v>40</v>
      </c>
      <c r="D992" s="7">
        <v>405</v>
      </c>
      <c r="E992" s="31">
        <v>137280</v>
      </c>
      <c r="F992" s="29"/>
      <c r="G992" s="32">
        <v>45512</v>
      </c>
      <c r="H992" s="29"/>
      <c r="I992" s="5" t="s">
        <v>15</v>
      </c>
      <c r="J992" s="5" t="s">
        <v>30</v>
      </c>
      <c r="K992" s="5"/>
    </row>
    <row r="993" spans="1:11" ht="18.75" customHeight="1" x14ac:dyDescent="0.3">
      <c r="A993" s="30">
        <v>1011</v>
      </c>
      <c r="B993" s="29"/>
      <c r="C993" s="5" t="s">
        <v>40</v>
      </c>
      <c r="D993" s="7">
        <v>680</v>
      </c>
      <c r="E993" s="31">
        <v>136690</v>
      </c>
      <c r="F993" s="29"/>
      <c r="G993" s="32">
        <v>45513</v>
      </c>
      <c r="H993" s="29"/>
      <c r="I993" s="5" t="s">
        <v>15</v>
      </c>
      <c r="J993" s="5" t="s">
        <v>30</v>
      </c>
      <c r="K993" s="5"/>
    </row>
    <row r="994" spans="1:11" ht="18.75" customHeight="1" x14ac:dyDescent="0.3">
      <c r="A994" s="30">
        <v>1012</v>
      </c>
      <c r="B994" s="29"/>
      <c r="C994" s="5" t="s">
        <v>40</v>
      </c>
      <c r="D994" s="7">
        <v>274</v>
      </c>
      <c r="E994" s="31">
        <v>136697</v>
      </c>
      <c r="F994" s="29"/>
      <c r="G994" s="32">
        <v>45514</v>
      </c>
      <c r="H994" s="29"/>
      <c r="I994" s="5" t="s">
        <v>15</v>
      </c>
      <c r="J994" s="5" t="s">
        <v>30</v>
      </c>
      <c r="K994" s="5"/>
    </row>
    <row r="995" spans="1:11" ht="18.75" customHeight="1" x14ac:dyDescent="0.3">
      <c r="A995" s="30">
        <v>1013</v>
      </c>
      <c r="B995" s="29"/>
      <c r="C995" s="5" t="s">
        <v>40</v>
      </c>
      <c r="D995" s="7">
        <v>338</v>
      </c>
      <c r="E995" s="31">
        <v>137405</v>
      </c>
      <c r="F995" s="29"/>
      <c r="G995" s="32">
        <v>45510</v>
      </c>
      <c r="H995" s="29"/>
      <c r="I995" s="5" t="s">
        <v>28</v>
      </c>
      <c r="J995" s="5" t="s">
        <v>80</v>
      </c>
      <c r="K995" s="5"/>
    </row>
    <row r="996" spans="1:11" ht="18.75" customHeight="1" x14ac:dyDescent="0.3">
      <c r="A996" s="30">
        <v>1014</v>
      </c>
      <c r="B996" s="29"/>
      <c r="C996" s="5" t="s">
        <v>40</v>
      </c>
      <c r="D996" s="7">
        <v>400</v>
      </c>
      <c r="E996" s="31">
        <v>137267</v>
      </c>
      <c r="F996" s="29"/>
      <c r="G996" s="32">
        <v>45510</v>
      </c>
      <c r="H996" s="29"/>
      <c r="I996" s="5" t="s">
        <v>28</v>
      </c>
      <c r="J996" s="5" t="s">
        <v>80</v>
      </c>
      <c r="K996" s="5"/>
    </row>
    <row r="997" spans="1:11" ht="18.75" customHeight="1" x14ac:dyDescent="0.3">
      <c r="A997" s="30">
        <v>1015</v>
      </c>
      <c r="B997" s="29"/>
      <c r="C997" s="5" t="s">
        <v>40</v>
      </c>
      <c r="D997" s="7">
        <v>402</v>
      </c>
      <c r="E997" s="31">
        <v>136681</v>
      </c>
      <c r="F997" s="29"/>
      <c r="G997" s="32">
        <v>45511</v>
      </c>
      <c r="H997" s="29"/>
      <c r="I997" s="5" t="s">
        <v>28</v>
      </c>
      <c r="J997" s="5" t="s">
        <v>80</v>
      </c>
      <c r="K997" s="5"/>
    </row>
    <row r="998" spans="1:11" ht="18.75" customHeight="1" x14ac:dyDescent="0.3">
      <c r="A998" s="30">
        <v>1016</v>
      </c>
      <c r="B998" s="29"/>
      <c r="C998" s="5" t="s">
        <v>40</v>
      </c>
      <c r="D998" s="7">
        <v>493</v>
      </c>
      <c r="E998" s="31">
        <v>137272</v>
      </c>
      <c r="F998" s="29"/>
      <c r="G998" s="32">
        <v>45511</v>
      </c>
      <c r="H998" s="29"/>
      <c r="I998" s="5" t="s">
        <v>28</v>
      </c>
      <c r="J998" s="5" t="s">
        <v>80</v>
      </c>
      <c r="K998" s="5"/>
    </row>
    <row r="999" spans="1:11" ht="18.75" customHeight="1" x14ac:dyDescent="0.3">
      <c r="A999" s="30">
        <v>1017</v>
      </c>
      <c r="B999" s="29"/>
      <c r="C999" s="5" t="s">
        <v>40</v>
      </c>
      <c r="D999" s="7">
        <v>618</v>
      </c>
      <c r="E999" s="31">
        <v>136686</v>
      </c>
      <c r="F999" s="29"/>
      <c r="G999" s="32">
        <v>45512</v>
      </c>
      <c r="H999" s="29"/>
      <c r="I999" s="5" t="s">
        <v>28</v>
      </c>
      <c r="J999" s="5" t="s">
        <v>80</v>
      </c>
      <c r="K999" s="5"/>
    </row>
    <row r="1000" spans="1:11" ht="18.75" customHeight="1" x14ac:dyDescent="0.3">
      <c r="A1000" s="30">
        <v>1018</v>
      </c>
      <c r="B1000" s="29"/>
      <c r="C1000" s="5" t="s">
        <v>40</v>
      </c>
      <c r="D1000" s="7">
        <v>400</v>
      </c>
      <c r="E1000" s="31">
        <v>136689</v>
      </c>
      <c r="F1000" s="29"/>
      <c r="G1000" s="32">
        <v>45513</v>
      </c>
      <c r="H1000" s="29"/>
      <c r="I1000" s="5" t="s">
        <v>28</v>
      </c>
      <c r="J1000" s="5" t="s">
        <v>80</v>
      </c>
      <c r="K1000" s="5"/>
    </row>
    <row r="1001" spans="1:11" ht="18.75" customHeight="1" x14ac:dyDescent="0.3">
      <c r="A1001" s="30">
        <v>1019</v>
      </c>
      <c r="B1001" s="29"/>
      <c r="C1001" s="5" t="s">
        <v>40</v>
      </c>
      <c r="D1001" s="7">
        <v>640</v>
      </c>
      <c r="E1001" s="31">
        <v>136693</v>
      </c>
      <c r="F1001" s="29"/>
      <c r="G1001" s="32">
        <v>45513</v>
      </c>
      <c r="H1001" s="29"/>
      <c r="I1001" s="5" t="s">
        <v>28</v>
      </c>
      <c r="J1001" s="5" t="s">
        <v>80</v>
      </c>
      <c r="K1001" s="5"/>
    </row>
    <row r="1002" spans="1:11" ht="18.75" customHeight="1" x14ac:dyDescent="0.3">
      <c r="A1002" s="30">
        <v>1020</v>
      </c>
      <c r="B1002" s="29"/>
      <c r="C1002" s="5" t="s">
        <v>40</v>
      </c>
      <c r="D1002" s="7">
        <v>405</v>
      </c>
      <c r="E1002" s="31">
        <v>136695</v>
      </c>
      <c r="F1002" s="29"/>
      <c r="G1002" s="32">
        <v>45514</v>
      </c>
      <c r="H1002" s="29"/>
      <c r="I1002" s="5" t="s">
        <v>28</v>
      </c>
      <c r="J1002" s="5" t="s">
        <v>80</v>
      </c>
      <c r="K1002" s="5"/>
    </row>
    <row r="1003" spans="1:11" ht="18.75" customHeight="1" x14ac:dyDescent="0.3">
      <c r="A1003" s="30">
        <v>1021</v>
      </c>
      <c r="B1003" s="29"/>
      <c r="C1003" s="5" t="s">
        <v>14</v>
      </c>
      <c r="D1003" s="7">
        <v>407</v>
      </c>
      <c r="E1003" s="31">
        <v>20949</v>
      </c>
      <c r="F1003" s="29"/>
      <c r="G1003" s="32">
        <v>45518</v>
      </c>
      <c r="H1003" s="29"/>
      <c r="I1003" s="5" t="s">
        <v>69</v>
      </c>
      <c r="J1003" s="5" t="s">
        <v>79</v>
      </c>
      <c r="K1003" s="5" t="s">
        <v>82</v>
      </c>
    </row>
    <row r="1004" spans="1:11" ht="18.75" customHeight="1" x14ac:dyDescent="0.3">
      <c r="A1004" s="30">
        <v>1022</v>
      </c>
      <c r="B1004" s="29"/>
      <c r="C1004" s="5" t="s">
        <v>14</v>
      </c>
      <c r="D1004" s="7">
        <v>263</v>
      </c>
      <c r="E1004" s="31">
        <v>20960</v>
      </c>
      <c r="F1004" s="29"/>
      <c r="G1004" s="32">
        <v>45519</v>
      </c>
      <c r="H1004" s="29"/>
      <c r="I1004" s="5" t="s">
        <v>69</v>
      </c>
      <c r="J1004" s="5" t="s">
        <v>79</v>
      </c>
      <c r="K1004" s="5" t="s">
        <v>82</v>
      </c>
    </row>
    <row r="1005" spans="1:11" ht="18.75" customHeight="1" x14ac:dyDescent="0.3">
      <c r="A1005" s="30">
        <v>1023</v>
      </c>
      <c r="B1005" s="29"/>
      <c r="C1005" s="5" t="s">
        <v>14</v>
      </c>
      <c r="D1005" s="7">
        <v>339</v>
      </c>
      <c r="E1005" s="31">
        <v>20971</v>
      </c>
      <c r="F1005" s="29"/>
      <c r="G1005" s="32">
        <v>45520</v>
      </c>
      <c r="H1005" s="29"/>
      <c r="I1005" s="5" t="s">
        <v>69</v>
      </c>
      <c r="J1005" s="5" t="s">
        <v>79</v>
      </c>
      <c r="K1005" s="5" t="s">
        <v>82</v>
      </c>
    </row>
    <row r="1006" spans="1:11" ht="18.75" customHeight="1" x14ac:dyDescent="0.3">
      <c r="A1006" s="30">
        <v>1024</v>
      </c>
      <c r="B1006" s="29"/>
      <c r="C1006" s="5" t="s">
        <v>14</v>
      </c>
      <c r="D1006" s="7">
        <v>278</v>
      </c>
      <c r="E1006" s="31">
        <v>20979</v>
      </c>
      <c r="F1006" s="29"/>
      <c r="G1006" s="32">
        <v>45521</v>
      </c>
      <c r="H1006" s="29"/>
      <c r="I1006" s="5" t="s">
        <v>69</v>
      </c>
      <c r="J1006" s="5" t="s">
        <v>79</v>
      </c>
      <c r="K1006" s="5" t="s">
        <v>82</v>
      </c>
    </row>
    <row r="1007" spans="1:11" ht="18.75" customHeight="1" x14ac:dyDescent="0.3">
      <c r="A1007" s="30">
        <v>1025</v>
      </c>
      <c r="B1007" s="29"/>
      <c r="C1007" s="5" t="s">
        <v>40</v>
      </c>
      <c r="D1007" s="7">
        <v>405</v>
      </c>
      <c r="E1007" s="31">
        <v>137287</v>
      </c>
      <c r="F1007" s="29"/>
      <c r="G1007" s="32">
        <v>45516</v>
      </c>
      <c r="H1007" s="29"/>
      <c r="I1007" s="5" t="s">
        <v>15</v>
      </c>
      <c r="J1007" s="5" t="s">
        <v>30</v>
      </c>
      <c r="K1007" s="5"/>
    </row>
    <row r="1008" spans="1:11" ht="18.75" customHeight="1" x14ac:dyDescent="0.3">
      <c r="A1008" s="30">
        <v>1026</v>
      </c>
      <c r="B1008" s="29"/>
      <c r="C1008" s="5" t="s">
        <v>40</v>
      </c>
      <c r="D1008" s="7">
        <v>557</v>
      </c>
      <c r="E1008" s="31">
        <v>137300</v>
      </c>
      <c r="F1008" s="29"/>
      <c r="G1008" s="32">
        <v>45517</v>
      </c>
      <c r="H1008" s="29"/>
      <c r="I1008" s="5" t="s">
        <v>15</v>
      </c>
      <c r="J1008" s="5" t="s">
        <v>30</v>
      </c>
      <c r="K1008" s="5"/>
    </row>
    <row r="1009" spans="1:11" ht="18.75" customHeight="1" x14ac:dyDescent="0.3">
      <c r="A1009" s="30">
        <v>1027</v>
      </c>
      <c r="B1009" s="29"/>
      <c r="C1009" s="5" t="s">
        <v>40</v>
      </c>
      <c r="D1009" s="7">
        <v>550</v>
      </c>
      <c r="E1009" s="31">
        <v>137294</v>
      </c>
      <c r="F1009" s="29"/>
      <c r="G1009" s="32">
        <v>45517</v>
      </c>
      <c r="H1009" s="29"/>
      <c r="I1009" s="5" t="s">
        <v>15</v>
      </c>
      <c r="J1009" s="5" t="s">
        <v>30</v>
      </c>
      <c r="K1009" s="5"/>
    </row>
    <row r="1010" spans="1:11" ht="18.75" customHeight="1" x14ac:dyDescent="0.3">
      <c r="A1010" s="30">
        <v>1028</v>
      </c>
      <c r="B1010" s="29"/>
      <c r="C1010" s="5" t="s">
        <v>40</v>
      </c>
      <c r="D1010" s="7">
        <v>680</v>
      </c>
      <c r="E1010" s="31">
        <v>137427</v>
      </c>
      <c r="F1010" s="29"/>
      <c r="G1010" s="32">
        <v>45518</v>
      </c>
      <c r="H1010" s="29"/>
      <c r="I1010" s="5" t="s">
        <v>15</v>
      </c>
      <c r="J1010" s="5" t="s">
        <v>30</v>
      </c>
      <c r="K1010" s="5"/>
    </row>
    <row r="1011" spans="1:11" ht="18.75" customHeight="1" x14ac:dyDescent="0.3">
      <c r="A1011" s="30">
        <v>1029</v>
      </c>
      <c r="B1011" s="29"/>
      <c r="C1011" s="5" t="s">
        <v>40</v>
      </c>
      <c r="D1011" s="7">
        <v>330</v>
      </c>
      <c r="E1011" s="31">
        <v>137426</v>
      </c>
      <c r="F1011" s="29"/>
      <c r="G1011" s="32">
        <v>45518</v>
      </c>
      <c r="H1011" s="29"/>
      <c r="I1011" s="5" t="s">
        <v>15</v>
      </c>
      <c r="J1011" s="5" t="s">
        <v>30</v>
      </c>
      <c r="K1011" s="5"/>
    </row>
    <row r="1012" spans="1:11" ht="18.75" customHeight="1" x14ac:dyDescent="0.3">
      <c r="A1012" s="30">
        <v>1030</v>
      </c>
      <c r="B1012" s="29"/>
      <c r="C1012" s="5" t="s">
        <v>40</v>
      </c>
      <c r="D1012" s="7">
        <v>350</v>
      </c>
      <c r="E1012" s="31">
        <v>136701</v>
      </c>
      <c r="F1012" s="29"/>
      <c r="G1012" s="32">
        <v>45519</v>
      </c>
      <c r="H1012" s="29"/>
      <c r="I1012" s="5" t="s">
        <v>15</v>
      </c>
      <c r="J1012" s="5" t="s">
        <v>30</v>
      </c>
      <c r="K1012" s="5"/>
    </row>
    <row r="1013" spans="1:11" ht="18.75" customHeight="1" x14ac:dyDescent="0.3">
      <c r="A1013" s="30">
        <v>1031</v>
      </c>
      <c r="B1013" s="29"/>
      <c r="C1013" s="5" t="s">
        <v>40</v>
      </c>
      <c r="D1013" s="7">
        <v>360</v>
      </c>
      <c r="E1013" s="31">
        <v>136947</v>
      </c>
      <c r="F1013" s="29"/>
      <c r="G1013" s="32">
        <v>45519</v>
      </c>
      <c r="H1013" s="29"/>
      <c r="I1013" s="5" t="s">
        <v>15</v>
      </c>
      <c r="J1013" s="5" t="s">
        <v>30</v>
      </c>
      <c r="K1013" s="5"/>
    </row>
    <row r="1014" spans="1:11" ht="18.75" customHeight="1" x14ac:dyDescent="0.3">
      <c r="A1014" s="30">
        <v>1032</v>
      </c>
      <c r="B1014" s="29"/>
      <c r="C1014" s="5" t="s">
        <v>40</v>
      </c>
      <c r="D1014" s="7">
        <v>270</v>
      </c>
      <c r="E1014" s="31">
        <v>136702</v>
      </c>
      <c r="F1014" s="29"/>
      <c r="G1014" s="32">
        <v>45520</v>
      </c>
      <c r="H1014" s="29"/>
      <c r="I1014" s="5" t="s">
        <v>15</v>
      </c>
      <c r="J1014" s="5" t="s">
        <v>30</v>
      </c>
      <c r="K1014" s="5"/>
    </row>
    <row r="1015" spans="1:11" ht="18.75" customHeight="1" x14ac:dyDescent="0.3">
      <c r="A1015" s="30">
        <v>1033</v>
      </c>
      <c r="B1015" s="29"/>
      <c r="C1015" s="5" t="s">
        <v>40</v>
      </c>
      <c r="D1015" s="7">
        <v>400</v>
      </c>
      <c r="E1015" s="31">
        <v>137316</v>
      </c>
      <c r="F1015" s="29"/>
      <c r="G1015" s="32">
        <v>45520</v>
      </c>
      <c r="H1015" s="29"/>
      <c r="I1015" s="5" t="s">
        <v>15</v>
      </c>
      <c r="J1015" s="5" t="s">
        <v>30</v>
      </c>
      <c r="K1015" s="5"/>
    </row>
    <row r="1016" spans="1:11" ht="18.75" customHeight="1" x14ac:dyDescent="0.3">
      <c r="A1016" s="30">
        <v>1034</v>
      </c>
      <c r="B1016" s="29"/>
      <c r="C1016" s="5" t="s">
        <v>40</v>
      </c>
      <c r="D1016" s="7">
        <v>398</v>
      </c>
      <c r="E1016" s="31">
        <v>137447</v>
      </c>
      <c r="F1016" s="29"/>
      <c r="G1016" s="32">
        <v>45521</v>
      </c>
      <c r="H1016" s="29"/>
      <c r="I1016" s="5" t="s">
        <v>15</v>
      </c>
      <c r="J1016" s="5" t="s">
        <v>30</v>
      </c>
      <c r="K1016" s="5"/>
    </row>
    <row r="1017" spans="1:11" ht="18.75" customHeight="1" x14ac:dyDescent="0.3">
      <c r="A1017" s="30">
        <v>1035</v>
      </c>
      <c r="B1017" s="29"/>
      <c r="C1017" s="5" t="s">
        <v>40</v>
      </c>
      <c r="D1017" s="7">
        <v>270</v>
      </c>
      <c r="E1017" s="31">
        <v>137321</v>
      </c>
      <c r="F1017" s="29"/>
      <c r="G1017" s="32">
        <v>45521</v>
      </c>
      <c r="H1017" s="29"/>
      <c r="I1017" s="5" t="s">
        <v>15</v>
      </c>
      <c r="J1017" s="5" t="s">
        <v>30</v>
      </c>
      <c r="K1017" s="5"/>
    </row>
    <row r="1018" spans="1:11" ht="18.75" customHeight="1" x14ac:dyDescent="0.3">
      <c r="A1018" s="30">
        <v>1036</v>
      </c>
      <c r="B1018" s="29"/>
      <c r="C1018" s="5" t="s">
        <v>40</v>
      </c>
      <c r="D1018" s="7">
        <v>595</v>
      </c>
      <c r="E1018" s="31">
        <v>137288</v>
      </c>
      <c r="F1018" s="29"/>
      <c r="G1018" s="32">
        <v>45516</v>
      </c>
      <c r="H1018" s="29"/>
      <c r="I1018" s="5" t="s">
        <v>28</v>
      </c>
      <c r="J1018" s="5" t="s">
        <v>80</v>
      </c>
      <c r="K1018" s="5"/>
    </row>
    <row r="1019" spans="1:11" ht="18.75" customHeight="1" x14ac:dyDescent="0.3">
      <c r="A1019" s="30">
        <v>1037</v>
      </c>
      <c r="B1019" s="29"/>
      <c r="C1019" s="5" t="s">
        <v>40</v>
      </c>
      <c r="D1019" s="7">
        <v>415</v>
      </c>
      <c r="E1019" s="31">
        <v>137296</v>
      </c>
      <c r="F1019" s="29"/>
      <c r="G1019" s="32">
        <v>45517</v>
      </c>
      <c r="H1019" s="29"/>
      <c r="I1019" s="5" t="s">
        <v>28</v>
      </c>
      <c r="J1019" s="5" t="s">
        <v>80</v>
      </c>
      <c r="K1019" s="5"/>
    </row>
    <row r="1020" spans="1:11" ht="18.75" customHeight="1" x14ac:dyDescent="0.3">
      <c r="A1020" s="30">
        <v>1038</v>
      </c>
      <c r="B1020" s="29"/>
      <c r="C1020" s="5" t="s">
        <v>40</v>
      </c>
      <c r="D1020" s="7">
        <v>680</v>
      </c>
      <c r="E1020" s="31">
        <v>137428</v>
      </c>
      <c r="F1020" s="29"/>
      <c r="G1020" s="32">
        <v>45518</v>
      </c>
      <c r="H1020" s="29"/>
      <c r="I1020" s="5" t="s">
        <v>28</v>
      </c>
      <c r="J1020" s="5" t="s">
        <v>80</v>
      </c>
      <c r="K1020" s="5"/>
    </row>
    <row r="1021" spans="1:11" ht="18.75" customHeight="1" x14ac:dyDescent="0.3">
      <c r="A1021" s="30">
        <v>1039</v>
      </c>
      <c r="B1021" s="29"/>
      <c r="C1021" s="5" t="s">
        <v>40</v>
      </c>
      <c r="D1021" s="7">
        <v>384</v>
      </c>
      <c r="E1021" s="31">
        <v>137434</v>
      </c>
      <c r="F1021" s="29"/>
      <c r="G1021" s="32">
        <v>45518</v>
      </c>
      <c r="H1021" s="29"/>
      <c r="I1021" s="5" t="s">
        <v>28</v>
      </c>
      <c r="J1021" s="5" t="s">
        <v>80</v>
      </c>
      <c r="K1021" s="5"/>
    </row>
    <row r="1022" spans="1:11" ht="18.75" customHeight="1" x14ac:dyDescent="0.3">
      <c r="A1022" s="30">
        <v>1040</v>
      </c>
      <c r="B1022" s="29"/>
      <c r="C1022" s="5" t="s">
        <v>40</v>
      </c>
      <c r="D1022" s="7">
        <v>270</v>
      </c>
      <c r="E1022" s="31">
        <v>136699</v>
      </c>
      <c r="F1022" s="29"/>
      <c r="G1022" s="32">
        <v>45519</v>
      </c>
      <c r="H1022" s="29"/>
      <c r="I1022" s="5" t="s">
        <v>28</v>
      </c>
      <c r="J1022" s="5" t="s">
        <v>80</v>
      </c>
      <c r="K1022" s="5"/>
    </row>
    <row r="1023" spans="1:11" ht="18.75" customHeight="1" x14ac:dyDescent="0.3">
      <c r="A1023" s="30">
        <v>1041</v>
      </c>
      <c r="B1023" s="29"/>
      <c r="C1023" s="5" t="s">
        <v>40</v>
      </c>
      <c r="D1023" s="7">
        <v>400</v>
      </c>
      <c r="E1023" s="31">
        <v>137310</v>
      </c>
      <c r="F1023" s="29"/>
      <c r="G1023" s="32">
        <v>45519</v>
      </c>
      <c r="H1023" s="29"/>
      <c r="I1023" s="5" t="s">
        <v>28</v>
      </c>
      <c r="J1023" s="5" t="s">
        <v>80</v>
      </c>
      <c r="K1023" s="5"/>
    </row>
    <row r="1024" spans="1:11" ht="18.75" customHeight="1" x14ac:dyDescent="0.3">
      <c r="A1024" s="30">
        <v>1042</v>
      </c>
      <c r="B1024" s="29"/>
      <c r="C1024" s="5" t="s">
        <v>40</v>
      </c>
      <c r="D1024" s="7">
        <v>640</v>
      </c>
      <c r="E1024" s="31">
        <v>136705</v>
      </c>
      <c r="F1024" s="29"/>
      <c r="G1024" s="32">
        <v>45520</v>
      </c>
      <c r="H1024" s="29"/>
      <c r="I1024" s="5" t="s">
        <v>28</v>
      </c>
      <c r="J1024" s="5" t="s">
        <v>80</v>
      </c>
      <c r="K1024" s="5"/>
    </row>
    <row r="1025" spans="1:11" ht="18.75" customHeight="1" x14ac:dyDescent="0.3">
      <c r="A1025" s="30">
        <v>1043</v>
      </c>
      <c r="B1025" s="29"/>
      <c r="C1025" s="5" t="s">
        <v>40</v>
      </c>
      <c r="D1025" s="7">
        <v>385</v>
      </c>
      <c r="E1025" s="31">
        <v>137444</v>
      </c>
      <c r="F1025" s="29"/>
      <c r="G1025" s="32">
        <v>45520</v>
      </c>
      <c r="H1025" s="29"/>
      <c r="I1025" s="5" t="s">
        <v>28</v>
      </c>
      <c r="J1025" s="5" t="s">
        <v>80</v>
      </c>
      <c r="K1025" s="5"/>
    </row>
    <row r="1026" spans="1:11" ht="18.75" customHeight="1" x14ac:dyDescent="0.3">
      <c r="A1026" s="30">
        <v>1044</v>
      </c>
      <c r="B1026" s="29"/>
      <c r="C1026" s="5" t="s">
        <v>40</v>
      </c>
      <c r="D1026" s="7">
        <v>383</v>
      </c>
      <c r="E1026" s="31">
        <v>136707</v>
      </c>
      <c r="F1026" s="29"/>
      <c r="G1026" s="32">
        <v>45521</v>
      </c>
      <c r="H1026" s="29"/>
      <c r="I1026" s="5" t="s">
        <v>28</v>
      </c>
      <c r="J1026" s="5" t="s">
        <v>80</v>
      </c>
      <c r="K1026" s="5"/>
    </row>
    <row r="1027" spans="1:11" ht="18.75" customHeight="1" x14ac:dyDescent="0.3">
      <c r="A1027" s="30">
        <v>1045</v>
      </c>
      <c r="B1027" s="29"/>
      <c r="C1027" s="5" t="s">
        <v>40</v>
      </c>
      <c r="D1027" s="7">
        <v>382</v>
      </c>
      <c r="E1027" s="31">
        <v>137446</v>
      </c>
      <c r="F1027" s="29"/>
      <c r="G1027" s="32">
        <v>45521</v>
      </c>
      <c r="H1027" s="29"/>
      <c r="I1027" s="5" t="s">
        <v>28</v>
      </c>
      <c r="J1027" s="5" t="s">
        <v>80</v>
      </c>
      <c r="K1027" s="5"/>
    </row>
    <row r="1028" spans="1:11" ht="18.75" customHeight="1" x14ac:dyDescent="0.3">
      <c r="A1028" s="30">
        <v>1046</v>
      </c>
      <c r="B1028" s="29"/>
      <c r="C1028" s="5" t="s">
        <v>14</v>
      </c>
      <c r="D1028" s="7">
        <v>288</v>
      </c>
      <c r="E1028" s="31">
        <v>20993</v>
      </c>
      <c r="F1028" s="29"/>
      <c r="G1028" s="32">
        <v>45522</v>
      </c>
      <c r="H1028" s="29"/>
      <c r="I1028" s="5" t="s">
        <v>69</v>
      </c>
      <c r="J1028" s="5" t="s">
        <v>79</v>
      </c>
      <c r="K1028" s="5" t="s">
        <v>82</v>
      </c>
    </row>
    <row r="1029" spans="1:11" ht="18.75" customHeight="1" x14ac:dyDescent="0.3">
      <c r="A1029" s="30">
        <v>1047</v>
      </c>
      <c r="B1029" s="29"/>
      <c r="C1029" s="5" t="s">
        <v>14</v>
      </c>
      <c r="D1029" s="7">
        <v>305</v>
      </c>
      <c r="E1029" s="31">
        <v>20999</v>
      </c>
      <c r="F1029" s="29"/>
      <c r="G1029" s="32">
        <v>45523</v>
      </c>
      <c r="H1029" s="29"/>
      <c r="I1029" s="5" t="s">
        <v>69</v>
      </c>
      <c r="J1029" s="5" t="s">
        <v>79</v>
      </c>
      <c r="K1029" s="5" t="s">
        <v>82</v>
      </c>
    </row>
    <row r="1030" spans="1:11" ht="18.75" customHeight="1" x14ac:dyDescent="0.3">
      <c r="A1030" s="30">
        <v>1048</v>
      </c>
      <c r="B1030" s="29"/>
      <c r="C1030" s="5" t="s">
        <v>14</v>
      </c>
      <c r="D1030" s="7">
        <v>346</v>
      </c>
      <c r="E1030" s="31">
        <v>24027</v>
      </c>
      <c r="F1030" s="29"/>
      <c r="G1030" s="32">
        <v>45524</v>
      </c>
      <c r="H1030" s="29"/>
      <c r="I1030" s="5" t="s">
        <v>69</v>
      </c>
      <c r="J1030" s="5" t="s">
        <v>79</v>
      </c>
      <c r="K1030" s="5" t="s">
        <v>82</v>
      </c>
    </row>
    <row r="1031" spans="1:11" ht="18.75" customHeight="1" x14ac:dyDescent="0.3">
      <c r="A1031" s="30">
        <v>1049</v>
      </c>
      <c r="B1031" s="29"/>
      <c r="C1031" s="5" t="s">
        <v>14</v>
      </c>
      <c r="D1031" s="7">
        <v>408</v>
      </c>
      <c r="E1031" s="31">
        <v>24034</v>
      </c>
      <c r="F1031" s="29"/>
      <c r="G1031" s="32">
        <v>45525</v>
      </c>
      <c r="H1031" s="29"/>
      <c r="I1031" s="5" t="s">
        <v>69</v>
      </c>
      <c r="J1031" s="5" t="s">
        <v>79</v>
      </c>
      <c r="K1031" s="5" t="s">
        <v>82</v>
      </c>
    </row>
    <row r="1032" spans="1:11" ht="18.75" customHeight="1" x14ac:dyDescent="0.3">
      <c r="A1032" s="30">
        <v>1050</v>
      </c>
      <c r="B1032" s="29"/>
      <c r="C1032" s="5" t="s">
        <v>14</v>
      </c>
      <c r="D1032" s="7">
        <v>261</v>
      </c>
      <c r="E1032" s="31">
        <v>24047</v>
      </c>
      <c r="F1032" s="29"/>
      <c r="G1032" s="32">
        <v>45526</v>
      </c>
      <c r="H1032" s="29"/>
      <c r="I1032" s="5" t="s">
        <v>69</v>
      </c>
      <c r="J1032" s="5" t="s">
        <v>79</v>
      </c>
      <c r="K1032" s="5" t="s">
        <v>82</v>
      </c>
    </row>
    <row r="1033" spans="1:11" ht="18.75" customHeight="1" x14ac:dyDescent="0.3">
      <c r="A1033" s="30">
        <v>1051</v>
      </c>
      <c r="B1033" s="29"/>
      <c r="C1033" s="5" t="s">
        <v>14</v>
      </c>
      <c r="D1033" s="7">
        <v>247</v>
      </c>
      <c r="E1033" s="31">
        <v>24053</v>
      </c>
      <c r="F1033" s="29"/>
      <c r="G1033" s="32">
        <v>45527</v>
      </c>
      <c r="H1033" s="29"/>
      <c r="I1033" s="5" t="s">
        <v>69</v>
      </c>
      <c r="J1033" s="5" t="s">
        <v>79</v>
      </c>
      <c r="K1033" s="5" t="s">
        <v>82</v>
      </c>
    </row>
    <row r="1034" spans="1:11" ht="18.75" customHeight="1" x14ac:dyDescent="0.3">
      <c r="A1034" s="30">
        <v>1052</v>
      </c>
      <c r="B1034" s="29"/>
      <c r="C1034" s="5" t="s">
        <v>14</v>
      </c>
      <c r="D1034" s="7">
        <v>281</v>
      </c>
      <c r="E1034" s="31">
        <v>24067</v>
      </c>
      <c r="F1034" s="29"/>
      <c r="G1034" s="32">
        <v>45528</v>
      </c>
      <c r="H1034" s="29"/>
      <c r="I1034" s="5" t="s">
        <v>69</v>
      </c>
      <c r="J1034" s="5" t="s">
        <v>79</v>
      </c>
      <c r="K1034" s="5" t="s">
        <v>82</v>
      </c>
    </row>
    <row r="1035" spans="1:11" ht="18.75" customHeight="1" x14ac:dyDescent="0.3">
      <c r="A1035" s="30">
        <v>1053</v>
      </c>
      <c r="B1035" s="29"/>
      <c r="C1035" s="5" t="s">
        <v>14</v>
      </c>
      <c r="D1035" s="7">
        <v>316</v>
      </c>
      <c r="E1035" s="31">
        <v>24074</v>
      </c>
      <c r="F1035" s="29"/>
      <c r="G1035" s="32">
        <v>45529</v>
      </c>
      <c r="H1035" s="29"/>
      <c r="I1035" s="5" t="s">
        <v>69</v>
      </c>
      <c r="J1035" s="5" t="s">
        <v>79</v>
      </c>
      <c r="K1035" s="5" t="s">
        <v>82</v>
      </c>
    </row>
    <row r="1036" spans="1:11" ht="18.75" customHeight="1" x14ac:dyDescent="0.3">
      <c r="A1036" s="30">
        <v>1054</v>
      </c>
      <c r="B1036" s="29"/>
      <c r="C1036" s="5" t="s">
        <v>40</v>
      </c>
      <c r="D1036" s="7">
        <v>310</v>
      </c>
      <c r="E1036" s="31">
        <v>136709</v>
      </c>
      <c r="F1036" s="29"/>
      <c r="G1036" s="32">
        <v>45523</v>
      </c>
      <c r="H1036" s="29"/>
      <c r="I1036" s="5" t="s">
        <v>15</v>
      </c>
      <c r="J1036" s="5" t="s">
        <v>30</v>
      </c>
      <c r="K1036" s="5"/>
    </row>
    <row r="1037" spans="1:11" ht="18.75" customHeight="1" x14ac:dyDescent="0.3">
      <c r="A1037" s="30">
        <v>1055</v>
      </c>
      <c r="B1037" s="29"/>
      <c r="C1037" s="5" t="s">
        <v>40</v>
      </c>
      <c r="D1037" s="7">
        <v>692</v>
      </c>
      <c r="E1037" s="31">
        <v>136712</v>
      </c>
      <c r="F1037" s="29"/>
      <c r="G1037" s="32">
        <v>45523</v>
      </c>
      <c r="H1037" s="29"/>
      <c r="I1037" s="5" t="s">
        <v>15</v>
      </c>
      <c r="J1037" s="5" t="s">
        <v>30</v>
      </c>
      <c r="K1037" s="5"/>
    </row>
    <row r="1038" spans="1:11" ht="18.75" customHeight="1" x14ac:dyDescent="0.3">
      <c r="A1038" s="30">
        <v>1056</v>
      </c>
      <c r="B1038" s="29"/>
      <c r="C1038" s="5" t="s">
        <v>40</v>
      </c>
      <c r="D1038" s="7">
        <v>302</v>
      </c>
      <c r="E1038" s="31">
        <v>136717</v>
      </c>
      <c r="F1038" s="29"/>
      <c r="G1038" s="32">
        <v>45524</v>
      </c>
      <c r="H1038" s="29"/>
      <c r="I1038" s="5" t="s">
        <v>15</v>
      </c>
      <c r="J1038" s="5" t="s">
        <v>30</v>
      </c>
      <c r="K1038" s="5"/>
    </row>
    <row r="1039" spans="1:11" ht="18.75" customHeight="1" x14ac:dyDescent="0.3">
      <c r="A1039" s="30">
        <v>1057</v>
      </c>
      <c r="B1039" s="29"/>
      <c r="C1039" s="5" t="s">
        <v>40</v>
      </c>
      <c r="D1039" s="7">
        <v>385</v>
      </c>
      <c r="E1039" s="31">
        <v>137457</v>
      </c>
      <c r="F1039" s="29"/>
      <c r="G1039" s="32">
        <v>45524</v>
      </c>
      <c r="H1039" s="29"/>
      <c r="I1039" s="5" t="s">
        <v>15</v>
      </c>
      <c r="J1039" s="5" t="s">
        <v>30</v>
      </c>
      <c r="K1039" s="5"/>
    </row>
    <row r="1040" spans="1:11" ht="18.75" customHeight="1" x14ac:dyDescent="0.3">
      <c r="A1040" s="30">
        <v>1058</v>
      </c>
      <c r="B1040" s="29"/>
      <c r="C1040" s="5" t="s">
        <v>40</v>
      </c>
      <c r="D1040" s="7">
        <v>310</v>
      </c>
      <c r="E1040" s="31">
        <v>136719</v>
      </c>
      <c r="F1040" s="29"/>
      <c r="G1040" s="32">
        <v>45525</v>
      </c>
      <c r="H1040" s="29"/>
      <c r="I1040" s="5" t="s">
        <v>15</v>
      </c>
      <c r="J1040" s="5" t="s">
        <v>30</v>
      </c>
      <c r="K1040" s="5"/>
    </row>
    <row r="1041" spans="1:11" ht="18.75" customHeight="1" x14ac:dyDescent="0.3">
      <c r="A1041" s="30">
        <v>1059</v>
      </c>
      <c r="B1041" s="29"/>
      <c r="C1041" s="5" t="s">
        <v>40</v>
      </c>
      <c r="D1041" s="7">
        <v>600</v>
      </c>
      <c r="E1041" s="31">
        <v>137332</v>
      </c>
      <c r="F1041" s="29"/>
      <c r="G1041" s="32">
        <v>45525</v>
      </c>
      <c r="H1041" s="29"/>
      <c r="I1041" s="5" t="s">
        <v>15</v>
      </c>
      <c r="J1041" s="5" t="s">
        <v>30</v>
      </c>
      <c r="K1041" s="5"/>
    </row>
    <row r="1042" spans="1:11" ht="18.75" customHeight="1" x14ac:dyDescent="0.3">
      <c r="A1042" s="30">
        <v>1060</v>
      </c>
      <c r="B1042" s="29"/>
      <c r="C1042" s="5" t="s">
        <v>40</v>
      </c>
      <c r="D1042" s="7">
        <v>328</v>
      </c>
      <c r="E1042" s="31">
        <v>137465</v>
      </c>
      <c r="F1042" s="29"/>
      <c r="G1042" s="32">
        <v>45526</v>
      </c>
      <c r="H1042" s="29"/>
      <c r="I1042" s="5" t="s">
        <v>15</v>
      </c>
      <c r="J1042" s="5" t="s">
        <v>30</v>
      </c>
      <c r="K1042" s="5"/>
    </row>
    <row r="1043" spans="1:11" ht="18.75" customHeight="1" x14ac:dyDescent="0.3">
      <c r="A1043" s="30">
        <v>1061</v>
      </c>
      <c r="B1043" s="29"/>
      <c r="C1043" s="5" t="s">
        <v>40</v>
      </c>
      <c r="D1043" s="7">
        <v>692</v>
      </c>
      <c r="E1043" s="31">
        <v>136727</v>
      </c>
      <c r="F1043" s="29"/>
      <c r="G1043" s="32">
        <v>45526</v>
      </c>
      <c r="H1043" s="29"/>
      <c r="I1043" s="5" t="s">
        <v>15</v>
      </c>
      <c r="J1043" s="5" t="s">
        <v>30</v>
      </c>
      <c r="K1043" s="5"/>
    </row>
    <row r="1044" spans="1:11" ht="18.75" customHeight="1" x14ac:dyDescent="0.3">
      <c r="A1044" s="30">
        <v>1062</v>
      </c>
      <c r="B1044" s="29"/>
      <c r="C1044" s="5" t="s">
        <v>40</v>
      </c>
      <c r="D1044" s="7">
        <v>530</v>
      </c>
      <c r="E1044" s="31">
        <v>137343</v>
      </c>
      <c r="F1044" s="29"/>
      <c r="G1044" s="32">
        <v>45527</v>
      </c>
      <c r="H1044" s="29"/>
      <c r="I1044" s="5" t="s">
        <v>15</v>
      </c>
      <c r="J1044" s="5" t="s">
        <v>30</v>
      </c>
      <c r="K1044" s="5"/>
    </row>
    <row r="1045" spans="1:11" ht="18.75" customHeight="1" x14ac:dyDescent="0.3">
      <c r="A1045" s="30">
        <v>1063</v>
      </c>
      <c r="B1045" s="29"/>
      <c r="C1045" s="5" t="s">
        <v>40</v>
      </c>
      <c r="D1045" s="7">
        <v>665</v>
      </c>
      <c r="E1045" s="31">
        <v>137350</v>
      </c>
      <c r="F1045" s="29"/>
      <c r="G1045" s="32">
        <v>45528</v>
      </c>
      <c r="H1045" s="29"/>
      <c r="I1045" s="5" t="s">
        <v>15</v>
      </c>
      <c r="J1045" s="5" t="s">
        <v>30</v>
      </c>
      <c r="K1045" s="5"/>
    </row>
    <row r="1046" spans="1:11" ht="18.75" customHeight="1" x14ac:dyDescent="0.3">
      <c r="A1046" s="30">
        <v>1064</v>
      </c>
      <c r="B1046" s="29"/>
      <c r="C1046" s="5" t="s">
        <v>40</v>
      </c>
      <c r="D1046" s="7">
        <v>469</v>
      </c>
      <c r="E1046" s="31">
        <v>137472</v>
      </c>
      <c r="F1046" s="29"/>
      <c r="G1046" s="32">
        <v>45528</v>
      </c>
      <c r="H1046" s="29"/>
      <c r="I1046" s="5" t="s">
        <v>15</v>
      </c>
      <c r="J1046" s="5" t="s">
        <v>30</v>
      </c>
      <c r="K1046" s="5"/>
    </row>
    <row r="1047" spans="1:11" ht="18.75" customHeight="1" x14ac:dyDescent="0.3">
      <c r="A1047" s="30">
        <v>1065</v>
      </c>
      <c r="B1047" s="29"/>
      <c r="C1047" s="5" t="s">
        <v>40</v>
      </c>
      <c r="D1047" s="7">
        <v>595</v>
      </c>
      <c r="E1047" s="31">
        <v>137325</v>
      </c>
      <c r="F1047" s="29"/>
      <c r="G1047" s="32">
        <v>45523</v>
      </c>
      <c r="H1047" s="29"/>
      <c r="I1047" s="5" t="s">
        <v>28</v>
      </c>
      <c r="J1047" s="5" t="s">
        <v>80</v>
      </c>
      <c r="K1047" s="5"/>
    </row>
    <row r="1048" spans="1:11" ht="18.75" customHeight="1" x14ac:dyDescent="0.3">
      <c r="A1048" s="30">
        <v>1066</v>
      </c>
      <c r="B1048" s="29"/>
      <c r="C1048" s="5" t="s">
        <v>40</v>
      </c>
      <c r="D1048" s="7">
        <v>288</v>
      </c>
      <c r="E1048" s="31">
        <v>137454</v>
      </c>
      <c r="F1048" s="29"/>
      <c r="G1048" s="32">
        <v>45523</v>
      </c>
      <c r="H1048" s="29"/>
      <c r="I1048" s="5" t="s">
        <v>28</v>
      </c>
      <c r="J1048" s="5" t="s">
        <v>80</v>
      </c>
      <c r="K1048" s="5"/>
    </row>
    <row r="1049" spans="1:11" ht="18.75" customHeight="1" x14ac:dyDescent="0.3">
      <c r="A1049" s="30">
        <v>1067</v>
      </c>
      <c r="B1049" s="29"/>
      <c r="C1049" s="5" t="s">
        <v>40</v>
      </c>
      <c r="D1049" s="7">
        <v>310</v>
      </c>
      <c r="E1049" s="31">
        <v>136714</v>
      </c>
      <c r="F1049" s="29"/>
      <c r="G1049" s="32">
        <v>45524</v>
      </c>
      <c r="H1049" s="29"/>
      <c r="I1049" s="5" t="s">
        <v>28</v>
      </c>
      <c r="J1049" s="5" t="s">
        <v>80</v>
      </c>
      <c r="K1049" s="5"/>
    </row>
    <row r="1050" spans="1:11" ht="18.75" customHeight="1" x14ac:dyDescent="0.3">
      <c r="A1050" s="30">
        <v>1068</v>
      </c>
      <c r="B1050" s="29"/>
      <c r="C1050" s="5" t="s">
        <v>40</v>
      </c>
      <c r="D1050" s="7">
        <v>382</v>
      </c>
      <c r="E1050" s="31">
        <v>135503</v>
      </c>
      <c r="F1050" s="29"/>
      <c r="G1050" s="32">
        <v>45524</v>
      </c>
      <c r="H1050" s="29"/>
      <c r="I1050" s="5" t="s">
        <v>28</v>
      </c>
      <c r="J1050" s="5" t="s">
        <v>80</v>
      </c>
      <c r="K1050" s="5"/>
    </row>
    <row r="1051" spans="1:11" ht="18.75" customHeight="1" x14ac:dyDescent="0.3">
      <c r="A1051" s="30">
        <v>1069</v>
      </c>
      <c r="B1051" s="29"/>
      <c r="C1051" s="5" t="s">
        <v>40</v>
      </c>
      <c r="D1051" s="7">
        <v>328</v>
      </c>
      <c r="E1051" s="31">
        <v>137461</v>
      </c>
      <c r="F1051" s="29"/>
      <c r="G1051" s="32">
        <v>45525</v>
      </c>
      <c r="H1051" s="29"/>
      <c r="I1051" s="5" t="s">
        <v>28</v>
      </c>
      <c r="J1051" s="5" t="s">
        <v>80</v>
      </c>
      <c r="K1051" s="5"/>
    </row>
    <row r="1052" spans="1:11" ht="18.75" customHeight="1" x14ac:dyDescent="0.3">
      <c r="A1052" s="30">
        <v>1070</v>
      </c>
      <c r="B1052" s="29"/>
      <c r="C1052" s="5" t="s">
        <v>40</v>
      </c>
      <c r="D1052" s="7">
        <v>629</v>
      </c>
      <c r="E1052" s="31">
        <v>137333</v>
      </c>
      <c r="F1052" s="29"/>
      <c r="G1052" s="32">
        <v>45525</v>
      </c>
      <c r="H1052" s="29"/>
      <c r="I1052" s="5" t="s">
        <v>28</v>
      </c>
      <c r="J1052" s="5" t="s">
        <v>80</v>
      </c>
      <c r="K1052" s="5"/>
    </row>
    <row r="1053" spans="1:11" ht="18.75" customHeight="1" x14ac:dyDescent="0.3">
      <c r="A1053" s="30">
        <v>1071</v>
      </c>
      <c r="B1053" s="29"/>
      <c r="C1053" s="5" t="s">
        <v>40</v>
      </c>
      <c r="D1053" s="7">
        <v>278</v>
      </c>
      <c r="E1053" s="31">
        <v>136724</v>
      </c>
      <c r="F1053" s="29"/>
      <c r="G1053" s="32">
        <v>45526</v>
      </c>
      <c r="H1053" s="29"/>
      <c r="I1053" s="5" t="s">
        <v>28</v>
      </c>
      <c r="J1053" s="5" t="s">
        <v>80</v>
      </c>
      <c r="K1053" s="5"/>
    </row>
    <row r="1054" spans="1:11" ht="18.75" customHeight="1" x14ac:dyDescent="0.3">
      <c r="A1054" s="30">
        <v>1072</v>
      </c>
      <c r="B1054" s="29"/>
      <c r="C1054" s="5" t="s">
        <v>40</v>
      </c>
      <c r="D1054" s="7">
        <v>380</v>
      </c>
      <c r="E1054" s="31">
        <v>137339</v>
      </c>
      <c r="F1054" s="29"/>
      <c r="G1054" s="32">
        <v>45526</v>
      </c>
      <c r="H1054" s="29"/>
      <c r="I1054" s="5" t="s">
        <v>28</v>
      </c>
      <c r="J1054" s="5" t="s">
        <v>80</v>
      </c>
      <c r="K1054" s="5"/>
    </row>
    <row r="1055" spans="1:11" ht="18.75" customHeight="1" x14ac:dyDescent="0.3">
      <c r="A1055" s="30">
        <v>1073</v>
      </c>
      <c r="B1055" s="29"/>
      <c r="C1055" s="5" t="s">
        <v>40</v>
      </c>
      <c r="D1055" s="7">
        <v>400</v>
      </c>
      <c r="E1055" s="31">
        <v>137344</v>
      </c>
      <c r="F1055" s="29"/>
      <c r="G1055" s="32">
        <v>45527</v>
      </c>
      <c r="H1055" s="29"/>
      <c r="I1055" s="5" t="s">
        <v>28</v>
      </c>
      <c r="J1055" s="5" t="s">
        <v>80</v>
      </c>
      <c r="K1055" s="5"/>
    </row>
    <row r="1056" spans="1:11" ht="18.75" customHeight="1" x14ac:dyDescent="0.3">
      <c r="A1056" s="30">
        <v>1074</v>
      </c>
      <c r="B1056" s="29"/>
      <c r="C1056" s="5" t="s">
        <v>40</v>
      </c>
      <c r="D1056" s="7">
        <v>385</v>
      </c>
      <c r="E1056" s="31">
        <v>137470</v>
      </c>
      <c r="F1056" s="29"/>
      <c r="G1056" s="32">
        <v>45528</v>
      </c>
      <c r="H1056" s="29"/>
      <c r="I1056" s="5" t="s">
        <v>28</v>
      </c>
      <c r="J1056" s="5" t="s">
        <v>80</v>
      </c>
      <c r="K1056" s="5"/>
    </row>
    <row r="1057" spans="1:11" ht="18.75" customHeight="1" x14ac:dyDescent="0.3">
      <c r="A1057" s="30">
        <v>1075</v>
      </c>
      <c r="B1057" s="29"/>
      <c r="C1057" s="5" t="s">
        <v>14</v>
      </c>
      <c r="D1057" s="7">
        <v>432</v>
      </c>
      <c r="E1057" s="31">
        <v>24083</v>
      </c>
      <c r="F1057" s="29"/>
      <c r="G1057" s="32">
        <v>45530</v>
      </c>
      <c r="H1057" s="29"/>
      <c r="I1057" s="5" t="s">
        <v>69</v>
      </c>
      <c r="J1057" s="5" t="s">
        <v>79</v>
      </c>
      <c r="K1057" s="5" t="s">
        <v>82</v>
      </c>
    </row>
    <row r="1058" spans="1:11" ht="18.75" customHeight="1" x14ac:dyDescent="0.3">
      <c r="A1058" s="30">
        <v>1076</v>
      </c>
      <c r="B1058" s="29"/>
      <c r="C1058" s="5" t="s">
        <v>14</v>
      </c>
      <c r="D1058" s="7">
        <v>368</v>
      </c>
      <c r="E1058" s="31">
        <v>24095</v>
      </c>
      <c r="F1058" s="29"/>
      <c r="G1058" s="32">
        <v>45531</v>
      </c>
      <c r="H1058" s="29"/>
      <c r="I1058" s="5" t="s">
        <v>69</v>
      </c>
      <c r="J1058" s="5" t="s">
        <v>79</v>
      </c>
      <c r="K1058" s="5" t="s">
        <v>82</v>
      </c>
    </row>
    <row r="1059" spans="1:11" ht="18.75" customHeight="1" x14ac:dyDescent="0.3">
      <c r="A1059" s="30">
        <v>1077</v>
      </c>
      <c r="B1059" s="29"/>
      <c r="C1059" s="5" t="s">
        <v>14</v>
      </c>
      <c r="D1059" s="7">
        <v>432</v>
      </c>
      <c r="E1059" s="31">
        <v>24503</v>
      </c>
      <c r="F1059" s="29"/>
      <c r="G1059" s="32">
        <v>45532</v>
      </c>
      <c r="H1059" s="29"/>
      <c r="I1059" s="5" t="s">
        <v>69</v>
      </c>
      <c r="J1059" s="5" t="s">
        <v>79</v>
      </c>
      <c r="K1059" s="5" t="s">
        <v>82</v>
      </c>
    </row>
    <row r="1060" spans="1:11" ht="18.75" customHeight="1" x14ac:dyDescent="0.3">
      <c r="A1060" s="30">
        <v>1078</v>
      </c>
      <c r="B1060" s="29"/>
      <c r="C1060" s="5" t="s">
        <v>14</v>
      </c>
      <c r="D1060" s="7">
        <v>291</v>
      </c>
      <c r="E1060" s="31">
        <v>24517</v>
      </c>
      <c r="F1060" s="29"/>
      <c r="G1060" s="32">
        <v>45533</v>
      </c>
      <c r="H1060" s="29"/>
      <c r="I1060" s="5" t="s">
        <v>69</v>
      </c>
      <c r="J1060" s="5" t="s">
        <v>79</v>
      </c>
      <c r="K1060" s="5" t="s">
        <v>82</v>
      </c>
    </row>
    <row r="1061" spans="1:11" ht="18.75" customHeight="1" x14ac:dyDescent="0.3">
      <c r="A1061" s="30">
        <v>1079</v>
      </c>
      <c r="B1061" s="29"/>
      <c r="C1061" s="5" t="s">
        <v>14</v>
      </c>
      <c r="D1061" s="7">
        <v>300</v>
      </c>
      <c r="E1061" s="31">
        <v>24531</v>
      </c>
      <c r="F1061" s="29"/>
      <c r="G1061" s="32">
        <v>45534</v>
      </c>
      <c r="H1061" s="29"/>
      <c r="I1061" s="5" t="s">
        <v>69</v>
      </c>
      <c r="J1061" s="5" t="s">
        <v>79</v>
      </c>
      <c r="K1061" s="5" t="s">
        <v>82</v>
      </c>
    </row>
    <row r="1062" spans="1:11" ht="18.75" customHeight="1" x14ac:dyDescent="0.3">
      <c r="A1062" s="30">
        <v>1080</v>
      </c>
      <c r="B1062" s="29"/>
      <c r="C1062" s="5" t="s">
        <v>14</v>
      </c>
      <c r="D1062" s="7">
        <v>386</v>
      </c>
      <c r="E1062" s="31">
        <v>24534</v>
      </c>
      <c r="F1062" s="29"/>
      <c r="G1062" s="32">
        <v>45535</v>
      </c>
      <c r="H1062" s="29"/>
      <c r="I1062" s="5" t="s">
        <v>69</v>
      </c>
      <c r="J1062" s="5" t="s">
        <v>79</v>
      </c>
      <c r="K1062" s="5" t="s">
        <v>82</v>
      </c>
    </row>
    <row r="1063" spans="1:11" ht="18.75" customHeight="1" x14ac:dyDescent="0.3">
      <c r="A1063" s="30">
        <v>1081</v>
      </c>
      <c r="B1063" s="29"/>
      <c r="C1063" s="5" t="s">
        <v>14</v>
      </c>
      <c r="D1063" s="7">
        <v>306</v>
      </c>
      <c r="E1063" s="31">
        <v>24547</v>
      </c>
      <c r="F1063" s="29"/>
      <c r="G1063" s="32">
        <v>45536</v>
      </c>
      <c r="H1063" s="29"/>
      <c r="I1063" s="5" t="s">
        <v>69</v>
      </c>
      <c r="J1063" s="5" t="s">
        <v>79</v>
      </c>
      <c r="K1063" s="5" t="s">
        <v>82</v>
      </c>
    </row>
    <row r="1064" spans="1:11" ht="18.75" customHeight="1" x14ac:dyDescent="0.3">
      <c r="A1064" s="30">
        <v>1082</v>
      </c>
      <c r="B1064" s="29"/>
      <c r="C1064" s="5" t="s">
        <v>40</v>
      </c>
      <c r="D1064" s="7">
        <v>412</v>
      </c>
      <c r="E1064" s="31">
        <v>137055</v>
      </c>
      <c r="F1064" s="29"/>
      <c r="G1064" s="32">
        <v>45531</v>
      </c>
      <c r="H1064" s="29"/>
      <c r="I1064" s="5" t="s">
        <v>15</v>
      </c>
      <c r="J1064" s="5" t="s">
        <v>30</v>
      </c>
      <c r="K1064" s="5"/>
    </row>
    <row r="1065" spans="1:11" ht="18.75" customHeight="1" x14ac:dyDescent="0.3">
      <c r="A1065" s="30">
        <v>1083</v>
      </c>
      <c r="B1065" s="29"/>
      <c r="C1065" s="5" t="s">
        <v>40</v>
      </c>
      <c r="D1065" s="7">
        <v>395</v>
      </c>
      <c r="E1065" s="31">
        <v>137475</v>
      </c>
      <c r="F1065" s="29"/>
      <c r="G1065" s="32">
        <v>45531</v>
      </c>
      <c r="H1065" s="29"/>
      <c r="I1065" s="5" t="s">
        <v>15</v>
      </c>
      <c r="J1065" s="5" t="s">
        <v>30</v>
      </c>
      <c r="K1065" s="5"/>
    </row>
    <row r="1066" spans="1:11" ht="18.75" customHeight="1" x14ac:dyDescent="0.3">
      <c r="A1066" s="30">
        <v>1084</v>
      </c>
      <c r="B1066" s="29"/>
      <c r="C1066" s="5" t="s">
        <v>40</v>
      </c>
      <c r="D1066" s="7">
        <v>300</v>
      </c>
      <c r="E1066" s="31">
        <v>135515</v>
      </c>
      <c r="F1066" s="29"/>
      <c r="G1066" s="32">
        <v>45532</v>
      </c>
      <c r="H1066" s="29"/>
      <c r="I1066" s="5" t="s">
        <v>15</v>
      </c>
      <c r="J1066" s="5" t="s">
        <v>30</v>
      </c>
      <c r="K1066" s="5"/>
    </row>
    <row r="1067" spans="1:11" ht="18.75" customHeight="1" x14ac:dyDescent="0.3">
      <c r="A1067" s="30">
        <v>1085</v>
      </c>
      <c r="B1067" s="29"/>
      <c r="C1067" s="5" t="s">
        <v>40</v>
      </c>
      <c r="D1067" s="7">
        <v>378</v>
      </c>
      <c r="E1067" s="31">
        <v>135516</v>
      </c>
      <c r="F1067" s="29"/>
      <c r="G1067" s="32">
        <v>45532</v>
      </c>
      <c r="H1067" s="29"/>
      <c r="I1067" s="5" t="s">
        <v>15</v>
      </c>
      <c r="J1067" s="5" t="s">
        <v>30</v>
      </c>
      <c r="K1067" s="5"/>
    </row>
    <row r="1068" spans="1:11" ht="18.75" customHeight="1" x14ac:dyDescent="0.3">
      <c r="A1068" s="30">
        <v>1086</v>
      </c>
      <c r="B1068" s="29"/>
      <c r="C1068" s="5" t="s">
        <v>40</v>
      </c>
      <c r="D1068" s="7">
        <v>414</v>
      </c>
      <c r="E1068" s="31">
        <v>137061</v>
      </c>
      <c r="F1068" s="29"/>
      <c r="G1068" s="32">
        <v>45533</v>
      </c>
      <c r="H1068" s="29"/>
      <c r="I1068" s="5" t="s">
        <v>15</v>
      </c>
      <c r="J1068" s="5" t="s">
        <v>30</v>
      </c>
      <c r="K1068" s="5"/>
    </row>
    <row r="1069" spans="1:11" ht="18.75" customHeight="1" x14ac:dyDescent="0.3">
      <c r="A1069" s="30">
        <v>1087</v>
      </c>
      <c r="B1069" s="29"/>
      <c r="C1069" s="5" t="s">
        <v>40</v>
      </c>
      <c r="D1069" s="7">
        <v>490</v>
      </c>
      <c r="E1069" s="31">
        <v>135522</v>
      </c>
      <c r="F1069" s="29"/>
      <c r="G1069" s="32">
        <v>45533</v>
      </c>
      <c r="H1069" s="29"/>
      <c r="I1069" s="5" t="s">
        <v>15</v>
      </c>
      <c r="J1069" s="5" t="s">
        <v>30</v>
      </c>
      <c r="K1069" s="5"/>
    </row>
    <row r="1070" spans="1:11" ht="18.75" customHeight="1" x14ac:dyDescent="0.3">
      <c r="A1070" s="30">
        <v>1088</v>
      </c>
      <c r="B1070" s="29"/>
      <c r="C1070" s="5" t="s">
        <v>40</v>
      </c>
      <c r="D1070" s="7">
        <v>400</v>
      </c>
      <c r="E1070" s="31">
        <v>137492</v>
      </c>
      <c r="F1070" s="29"/>
      <c r="G1070" s="32">
        <v>45534</v>
      </c>
      <c r="H1070" s="29"/>
      <c r="I1070" s="5" t="s">
        <v>15</v>
      </c>
      <c r="J1070" s="5" t="s">
        <v>30</v>
      </c>
      <c r="K1070" s="5"/>
    </row>
    <row r="1071" spans="1:11" ht="18.75" customHeight="1" x14ac:dyDescent="0.3">
      <c r="A1071" s="30">
        <v>1089</v>
      </c>
      <c r="B1071" s="29"/>
      <c r="C1071" s="5" t="s">
        <v>40</v>
      </c>
      <c r="D1071" s="7">
        <v>300</v>
      </c>
      <c r="E1071" s="31">
        <v>135528</v>
      </c>
      <c r="F1071" s="29"/>
      <c r="G1071" s="32">
        <v>45534</v>
      </c>
      <c r="H1071" s="29"/>
      <c r="I1071" s="5" t="s">
        <v>15</v>
      </c>
      <c r="J1071" s="5" t="s">
        <v>30</v>
      </c>
      <c r="K1071" s="5"/>
    </row>
    <row r="1072" spans="1:11" ht="18.75" customHeight="1" x14ac:dyDescent="0.3">
      <c r="A1072" s="30">
        <v>1090</v>
      </c>
      <c r="B1072" s="29"/>
      <c r="C1072" s="5" t="s">
        <v>40</v>
      </c>
      <c r="D1072" s="7">
        <v>375</v>
      </c>
      <c r="E1072" s="31">
        <v>135531</v>
      </c>
      <c r="F1072" s="29"/>
      <c r="G1072" s="32">
        <v>45535</v>
      </c>
      <c r="H1072" s="29"/>
      <c r="I1072" s="5" t="s">
        <v>15</v>
      </c>
      <c r="J1072" s="5" t="s">
        <v>30</v>
      </c>
      <c r="K1072" s="5"/>
    </row>
    <row r="1073" spans="1:11" ht="18.75" customHeight="1" x14ac:dyDescent="0.3">
      <c r="A1073" s="30">
        <v>1091</v>
      </c>
      <c r="B1073" s="29"/>
      <c r="C1073" s="5" t="s">
        <v>40</v>
      </c>
      <c r="D1073" s="7">
        <v>512</v>
      </c>
      <c r="E1073" s="31">
        <v>137499</v>
      </c>
      <c r="F1073" s="29"/>
      <c r="G1073" s="32">
        <v>45535</v>
      </c>
      <c r="H1073" s="29"/>
      <c r="I1073" s="5" t="s">
        <v>15</v>
      </c>
      <c r="J1073" s="5" t="s">
        <v>30</v>
      </c>
      <c r="K1073" s="5"/>
    </row>
    <row r="1074" spans="1:11" ht="18.75" customHeight="1" x14ac:dyDescent="0.3">
      <c r="A1074" s="30">
        <v>1092</v>
      </c>
      <c r="B1074" s="29"/>
      <c r="C1074" s="5" t="s">
        <v>40</v>
      </c>
      <c r="D1074" s="7">
        <v>700</v>
      </c>
      <c r="E1074" s="31">
        <v>136730</v>
      </c>
      <c r="F1074" s="29"/>
      <c r="G1074" s="32">
        <v>45531</v>
      </c>
      <c r="H1074" s="29"/>
      <c r="I1074" s="5" t="s">
        <v>28</v>
      </c>
      <c r="J1074" s="5" t="s">
        <v>80</v>
      </c>
      <c r="K1074" s="5"/>
    </row>
    <row r="1075" spans="1:11" ht="18.75" customHeight="1" x14ac:dyDescent="0.3">
      <c r="A1075" s="30">
        <v>1093</v>
      </c>
      <c r="B1075" s="29"/>
      <c r="C1075" s="5" t="s">
        <v>40</v>
      </c>
      <c r="D1075" s="7">
        <v>347</v>
      </c>
      <c r="E1075" s="31">
        <v>135513</v>
      </c>
      <c r="F1075" s="29"/>
      <c r="G1075" s="32">
        <v>45531</v>
      </c>
      <c r="H1075" s="29"/>
      <c r="I1075" s="5" t="s">
        <v>28</v>
      </c>
      <c r="J1075" s="5" t="s">
        <v>80</v>
      </c>
      <c r="K1075" s="5"/>
    </row>
    <row r="1076" spans="1:11" ht="18.75" customHeight="1" x14ac:dyDescent="0.3">
      <c r="A1076" s="30">
        <v>1094</v>
      </c>
      <c r="B1076" s="29"/>
      <c r="C1076" s="5" t="s">
        <v>40</v>
      </c>
      <c r="D1076" s="7">
        <v>562</v>
      </c>
      <c r="E1076" s="31">
        <v>137058</v>
      </c>
      <c r="F1076" s="29"/>
      <c r="G1076" s="32">
        <v>45532</v>
      </c>
      <c r="H1076" s="29"/>
      <c r="I1076" s="5" t="s">
        <v>28</v>
      </c>
      <c r="J1076" s="5" t="s">
        <v>80</v>
      </c>
      <c r="K1076" s="5"/>
    </row>
    <row r="1077" spans="1:11" ht="18.75" customHeight="1" x14ac:dyDescent="0.3">
      <c r="A1077" s="30">
        <v>1095</v>
      </c>
      <c r="B1077" s="29"/>
      <c r="C1077" s="5" t="s">
        <v>40</v>
      </c>
      <c r="D1077" s="7">
        <v>512</v>
      </c>
      <c r="E1077" s="31">
        <v>137485</v>
      </c>
      <c r="F1077" s="29"/>
      <c r="G1077" s="32">
        <v>45532</v>
      </c>
      <c r="H1077" s="29"/>
      <c r="I1077" s="5" t="s">
        <v>28</v>
      </c>
      <c r="J1077" s="5" t="s">
        <v>80</v>
      </c>
      <c r="K1077" s="5"/>
    </row>
    <row r="1078" spans="1:11" ht="18.75" customHeight="1" x14ac:dyDescent="0.3">
      <c r="A1078" s="30">
        <v>1096</v>
      </c>
      <c r="B1078" s="29"/>
      <c r="C1078" s="5" t="s">
        <v>40</v>
      </c>
      <c r="D1078" s="7">
        <v>408</v>
      </c>
      <c r="E1078" s="31">
        <v>135521</v>
      </c>
      <c r="F1078" s="29"/>
      <c r="G1078" s="32">
        <v>45533</v>
      </c>
      <c r="H1078" s="29"/>
      <c r="I1078" s="5" t="s">
        <v>28</v>
      </c>
      <c r="J1078" s="5" t="s">
        <v>80</v>
      </c>
      <c r="K1078" s="5"/>
    </row>
    <row r="1079" spans="1:11" ht="18.75" customHeight="1" x14ac:dyDescent="0.3">
      <c r="A1079" s="30">
        <v>1097</v>
      </c>
      <c r="B1079" s="29"/>
      <c r="C1079" s="5" t="s">
        <v>40</v>
      </c>
      <c r="D1079" s="7">
        <v>696</v>
      </c>
      <c r="E1079" s="31">
        <v>136738</v>
      </c>
      <c r="F1079" s="29"/>
      <c r="G1079" s="32">
        <v>45533</v>
      </c>
      <c r="H1079" s="29"/>
      <c r="I1079" s="5" t="s">
        <v>28</v>
      </c>
      <c r="J1079" s="5" t="s">
        <v>80</v>
      </c>
      <c r="K1079" s="5"/>
    </row>
    <row r="1080" spans="1:11" ht="18.75" customHeight="1" x14ac:dyDescent="0.3">
      <c r="A1080" s="30">
        <v>1098</v>
      </c>
      <c r="B1080" s="29"/>
      <c r="C1080" s="5" t="s">
        <v>40</v>
      </c>
      <c r="D1080" s="7">
        <v>560</v>
      </c>
      <c r="E1080" s="31">
        <v>137066</v>
      </c>
      <c r="F1080" s="29"/>
      <c r="G1080" s="32">
        <v>45534</v>
      </c>
      <c r="H1080" s="29"/>
      <c r="I1080" s="5" t="s">
        <v>28</v>
      </c>
      <c r="J1080" s="5" t="s">
        <v>80</v>
      </c>
      <c r="K1080" s="5"/>
    </row>
    <row r="1081" spans="1:11" ht="18.75" customHeight="1" x14ac:dyDescent="0.3">
      <c r="A1081" s="30">
        <v>1099</v>
      </c>
      <c r="B1081" s="29"/>
      <c r="C1081" s="5" t="s">
        <v>40</v>
      </c>
      <c r="D1081" s="7">
        <v>600</v>
      </c>
      <c r="E1081" s="31">
        <v>135527</v>
      </c>
      <c r="F1081" s="29"/>
      <c r="G1081" s="32">
        <v>45534</v>
      </c>
      <c r="H1081" s="29"/>
      <c r="I1081" s="5" t="s">
        <v>28</v>
      </c>
      <c r="J1081" s="5" t="s">
        <v>80</v>
      </c>
      <c r="K1081" s="5"/>
    </row>
    <row r="1082" spans="1:11" ht="18.75" customHeight="1" x14ac:dyDescent="0.3">
      <c r="A1082" s="30">
        <v>1100</v>
      </c>
      <c r="B1082" s="29"/>
      <c r="C1082" s="5" t="s">
        <v>40</v>
      </c>
      <c r="D1082" s="7">
        <v>400</v>
      </c>
      <c r="E1082" s="31">
        <v>137073</v>
      </c>
      <c r="F1082" s="29"/>
      <c r="G1082" s="32">
        <v>45535</v>
      </c>
      <c r="H1082" s="29"/>
      <c r="I1082" s="5" t="s">
        <v>28</v>
      </c>
      <c r="J1082" s="5" t="s">
        <v>80</v>
      </c>
      <c r="K1082" s="5"/>
    </row>
    <row r="1083" spans="1:11" ht="18.75" customHeight="1" x14ac:dyDescent="0.3">
      <c r="A1083" s="30">
        <v>1101</v>
      </c>
      <c r="B1083" s="29"/>
      <c r="C1083" s="5" t="s">
        <v>40</v>
      </c>
      <c r="D1083" s="7">
        <v>278</v>
      </c>
      <c r="E1083" s="31">
        <v>135553</v>
      </c>
      <c r="F1083" s="29"/>
      <c r="G1083" s="32">
        <v>45535</v>
      </c>
      <c r="H1083" s="29"/>
      <c r="I1083" s="5" t="s">
        <v>28</v>
      </c>
      <c r="J1083" s="5" t="s">
        <v>80</v>
      </c>
      <c r="K1083" s="5"/>
    </row>
    <row r="1084" spans="1:11" ht="18.75" customHeight="1" x14ac:dyDescent="0.3">
      <c r="A1084" s="30">
        <v>1102</v>
      </c>
      <c r="B1084" s="29"/>
      <c r="C1084" s="5" t="s">
        <v>14</v>
      </c>
      <c r="D1084" s="7">
        <v>446</v>
      </c>
      <c r="E1084" s="31">
        <v>24109</v>
      </c>
      <c r="F1084" s="29"/>
      <c r="G1084" s="32">
        <v>45537</v>
      </c>
      <c r="H1084" s="29"/>
      <c r="I1084" s="5" t="s">
        <v>69</v>
      </c>
      <c r="J1084" s="5" t="s">
        <v>79</v>
      </c>
      <c r="K1084" s="5" t="s">
        <v>82</v>
      </c>
    </row>
    <row r="1085" spans="1:11" ht="18.75" customHeight="1" x14ac:dyDescent="0.3">
      <c r="A1085" s="30">
        <v>1103</v>
      </c>
      <c r="B1085" s="29"/>
      <c r="C1085" s="5" t="s">
        <v>14</v>
      </c>
      <c r="D1085" s="7">
        <v>274</v>
      </c>
      <c r="E1085" s="31">
        <v>24121</v>
      </c>
      <c r="F1085" s="29"/>
      <c r="G1085" s="32">
        <v>45538</v>
      </c>
      <c r="H1085" s="29"/>
      <c r="I1085" s="5" t="s">
        <v>69</v>
      </c>
      <c r="J1085" s="5" t="s">
        <v>79</v>
      </c>
      <c r="K1085" s="5" t="s">
        <v>82</v>
      </c>
    </row>
    <row r="1086" spans="1:11" ht="18.75" customHeight="1" x14ac:dyDescent="0.3">
      <c r="A1086" s="30">
        <v>1104</v>
      </c>
      <c r="B1086" s="29"/>
      <c r="C1086" s="5" t="s">
        <v>14</v>
      </c>
      <c r="D1086" s="7">
        <v>232</v>
      </c>
      <c r="E1086" s="31">
        <v>24129</v>
      </c>
      <c r="F1086" s="29"/>
      <c r="G1086" s="32">
        <v>45539</v>
      </c>
      <c r="H1086" s="29"/>
      <c r="I1086" s="5" t="s">
        <v>69</v>
      </c>
      <c r="J1086" s="5" t="s">
        <v>79</v>
      </c>
      <c r="K1086" s="5" t="s">
        <v>82</v>
      </c>
    </row>
    <row r="1087" spans="1:11" ht="18.75" customHeight="1" x14ac:dyDescent="0.3">
      <c r="A1087" s="30">
        <v>1105</v>
      </c>
      <c r="B1087" s="29"/>
      <c r="C1087" s="5" t="s">
        <v>14</v>
      </c>
      <c r="D1087" s="7">
        <v>333</v>
      </c>
      <c r="E1087" s="31">
        <v>24137</v>
      </c>
      <c r="F1087" s="29"/>
      <c r="G1087" s="32">
        <v>45540</v>
      </c>
      <c r="H1087" s="29"/>
      <c r="I1087" s="5" t="s">
        <v>69</v>
      </c>
      <c r="J1087" s="5" t="s">
        <v>79</v>
      </c>
      <c r="K1087" s="5" t="s">
        <v>82</v>
      </c>
    </row>
    <row r="1088" spans="1:11" ht="18.75" customHeight="1" x14ac:dyDescent="0.3">
      <c r="A1088" s="30">
        <v>1106</v>
      </c>
      <c r="B1088" s="29"/>
      <c r="C1088" s="5" t="s">
        <v>14</v>
      </c>
      <c r="D1088" s="7">
        <v>317</v>
      </c>
      <c r="E1088" s="31">
        <v>24152</v>
      </c>
      <c r="F1088" s="29"/>
      <c r="G1088" s="32">
        <v>45541</v>
      </c>
      <c r="H1088" s="29"/>
      <c r="I1088" s="5" t="s">
        <v>69</v>
      </c>
      <c r="J1088" s="5" t="s">
        <v>79</v>
      </c>
      <c r="K1088" s="5" t="s">
        <v>82</v>
      </c>
    </row>
    <row r="1089" spans="1:11" ht="18.75" customHeight="1" x14ac:dyDescent="0.3">
      <c r="A1089" s="30">
        <v>1107</v>
      </c>
      <c r="B1089" s="29"/>
      <c r="C1089" s="5" t="s">
        <v>14</v>
      </c>
      <c r="D1089" s="7">
        <v>239</v>
      </c>
      <c r="E1089" s="31">
        <v>24160</v>
      </c>
      <c r="F1089" s="29"/>
      <c r="G1089" s="32">
        <v>45542</v>
      </c>
      <c r="H1089" s="29"/>
      <c r="I1089" s="5" t="s">
        <v>69</v>
      </c>
      <c r="J1089" s="5" t="s">
        <v>79</v>
      </c>
      <c r="K1089" s="5" t="s">
        <v>82</v>
      </c>
    </row>
    <row r="1090" spans="1:11" ht="18.75" customHeight="1" x14ac:dyDescent="0.3">
      <c r="A1090" s="30">
        <v>1108</v>
      </c>
      <c r="B1090" s="29"/>
      <c r="C1090" s="5" t="s">
        <v>14</v>
      </c>
      <c r="D1090" s="7">
        <v>283</v>
      </c>
      <c r="E1090" s="31">
        <v>24168</v>
      </c>
      <c r="F1090" s="29"/>
      <c r="G1090" s="32">
        <v>45543</v>
      </c>
      <c r="H1090" s="29"/>
      <c r="I1090" s="5" t="s">
        <v>69</v>
      </c>
      <c r="J1090" s="5" t="s">
        <v>79</v>
      </c>
      <c r="K1090" s="5" t="s">
        <v>82</v>
      </c>
    </row>
    <row r="1091" spans="1:11" ht="18.75" customHeight="1" x14ac:dyDescent="0.3">
      <c r="A1091" s="30">
        <v>1109</v>
      </c>
      <c r="B1091" s="29"/>
      <c r="C1091" s="5" t="s">
        <v>40</v>
      </c>
      <c r="D1091" s="7">
        <v>640</v>
      </c>
      <c r="E1091" s="31">
        <v>136742</v>
      </c>
      <c r="F1091" s="29"/>
      <c r="G1091" s="32">
        <v>45537</v>
      </c>
      <c r="H1091" s="29"/>
      <c r="I1091" s="5" t="s">
        <v>15</v>
      </c>
      <c r="J1091" s="5" t="s">
        <v>30</v>
      </c>
      <c r="K1091" s="5"/>
    </row>
    <row r="1092" spans="1:11" ht="18.75" customHeight="1" x14ac:dyDescent="0.3">
      <c r="A1092" s="30">
        <v>1110</v>
      </c>
      <c r="B1092" s="29"/>
      <c r="C1092" s="5" t="s">
        <v>40</v>
      </c>
      <c r="D1092" s="7">
        <v>512</v>
      </c>
      <c r="E1092" s="31">
        <v>135555</v>
      </c>
      <c r="F1092" s="29"/>
      <c r="G1092" s="32">
        <v>45537</v>
      </c>
      <c r="H1092" s="29"/>
      <c r="I1092" s="5" t="s">
        <v>15</v>
      </c>
      <c r="J1092" s="5" t="s">
        <v>30</v>
      </c>
      <c r="K1092" s="5"/>
    </row>
    <row r="1093" spans="1:11" ht="18.75" customHeight="1" x14ac:dyDescent="0.3">
      <c r="A1093" s="30">
        <v>1111</v>
      </c>
      <c r="B1093" s="29"/>
      <c r="C1093" s="5" t="s">
        <v>40</v>
      </c>
      <c r="D1093" s="7">
        <v>512</v>
      </c>
      <c r="E1093" s="31">
        <v>135560</v>
      </c>
      <c r="F1093" s="29"/>
      <c r="G1093" s="32">
        <v>45538</v>
      </c>
      <c r="H1093" s="29"/>
      <c r="I1093" s="5" t="s">
        <v>15</v>
      </c>
      <c r="J1093" s="5" t="s">
        <v>30</v>
      </c>
      <c r="K1093" s="5"/>
    </row>
    <row r="1094" spans="1:11" ht="18.75" customHeight="1" x14ac:dyDescent="0.3">
      <c r="A1094" s="30">
        <v>1112</v>
      </c>
      <c r="B1094" s="29"/>
      <c r="C1094" s="5" t="s">
        <v>40</v>
      </c>
      <c r="D1094" s="7">
        <v>670</v>
      </c>
      <c r="E1094" s="31">
        <v>136748</v>
      </c>
      <c r="F1094" s="29"/>
      <c r="G1094" s="32">
        <v>45538</v>
      </c>
      <c r="H1094" s="29"/>
      <c r="I1094" s="5" t="s">
        <v>15</v>
      </c>
      <c r="J1094" s="5" t="s">
        <v>30</v>
      </c>
      <c r="K1094" s="5"/>
    </row>
    <row r="1095" spans="1:11" ht="18.75" customHeight="1" x14ac:dyDescent="0.3">
      <c r="A1095" s="30">
        <v>1113</v>
      </c>
      <c r="B1095" s="29"/>
      <c r="C1095" s="5" t="s">
        <v>40</v>
      </c>
      <c r="D1095" s="7">
        <v>512</v>
      </c>
      <c r="E1095" s="31">
        <v>135568</v>
      </c>
      <c r="F1095" s="29"/>
      <c r="G1095" s="32">
        <v>45539</v>
      </c>
      <c r="H1095" s="29"/>
      <c r="I1095" s="5" t="s">
        <v>15</v>
      </c>
      <c r="J1095" s="5" t="s">
        <v>30</v>
      </c>
      <c r="K1095" s="5"/>
    </row>
    <row r="1096" spans="1:11" ht="18.75" customHeight="1" x14ac:dyDescent="0.3">
      <c r="A1096" s="30">
        <v>1114</v>
      </c>
      <c r="B1096" s="29"/>
      <c r="C1096" s="5" t="s">
        <v>40</v>
      </c>
      <c r="D1096" s="7">
        <v>280</v>
      </c>
      <c r="E1096" s="31">
        <v>135569</v>
      </c>
      <c r="F1096" s="29"/>
      <c r="G1096" s="32">
        <v>45539</v>
      </c>
      <c r="H1096" s="29"/>
      <c r="I1096" s="5" t="s">
        <v>15</v>
      </c>
      <c r="J1096" s="5" t="s">
        <v>30</v>
      </c>
      <c r="K1096" s="5"/>
    </row>
    <row r="1097" spans="1:11" ht="18.75" customHeight="1" x14ac:dyDescent="0.3">
      <c r="A1097" s="30">
        <v>1115</v>
      </c>
      <c r="B1097" s="29"/>
      <c r="C1097" s="5" t="s">
        <v>40</v>
      </c>
      <c r="D1097" s="7">
        <v>392</v>
      </c>
      <c r="E1097" s="31">
        <v>136754</v>
      </c>
      <c r="F1097" s="29"/>
      <c r="G1097" s="32">
        <v>45540</v>
      </c>
      <c r="H1097" s="29"/>
      <c r="I1097" s="5" t="s">
        <v>15</v>
      </c>
      <c r="J1097" s="5" t="s">
        <v>30</v>
      </c>
      <c r="K1097" s="5"/>
    </row>
    <row r="1098" spans="1:11" ht="18.75" customHeight="1" x14ac:dyDescent="0.3">
      <c r="A1098" s="30">
        <v>1116</v>
      </c>
      <c r="B1098" s="29"/>
      <c r="C1098" s="5" t="s">
        <v>40</v>
      </c>
      <c r="D1098" s="7">
        <v>504</v>
      </c>
      <c r="E1098" s="31">
        <v>135578</v>
      </c>
      <c r="F1098" s="29"/>
      <c r="G1098" s="32">
        <v>45540</v>
      </c>
      <c r="H1098" s="29"/>
      <c r="I1098" s="5" t="s">
        <v>15</v>
      </c>
      <c r="J1098" s="5" t="s">
        <v>30</v>
      </c>
      <c r="K1098" s="5"/>
    </row>
    <row r="1099" spans="1:11" ht="18.75" customHeight="1" x14ac:dyDescent="0.3">
      <c r="A1099" s="30">
        <v>1117</v>
      </c>
      <c r="B1099" s="29"/>
      <c r="C1099" s="5" t="s">
        <v>40</v>
      </c>
      <c r="D1099" s="7">
        <v>387</v>
      </c>
      <c r="E1099" s="31">
        <v>136758</v>
      </c>
      <c r="F1099" s="29"/>
      <c r="G1099" s="32">
        <v>45541</v>
      </c>
      <c r="H1099" s="29"/>
      <c r="I1099" s="5" t="s">
        <v>15</v>
      </c>
      <c r="J1099" s="5" t="s">
        <v>30</v>
      </c>
      <c r="K1099" s="5"/>
    </row>
    <row r="1100" spans="1:11" ht="18.75" customHeight="1" x14ac:dyDescent="0.3">
      <c r="A1100" s="30">
        <v>1118</v>
      </c>
      <c r="B1100" s="29"/>
      <c r="C1100" s="5" t="s">
        <v>40</v>
      </c>
      <c r="D1100" s="7">
        <v>296</v>
      </c>
      <c r="E1100" s="31">
        <v>135585</v>
      </c>
      <c r="F1100" s="29"/>
      <c r="G1100" s="32">
        <v>45541</v>
      </c>
      <c r="H1100" s="29"/>
      <c r="I1100" s="5" t="s">
        <v>15</v>
      </c>
      <c r="J1100" s="5" t="s">
        <v>30</v>
      </c>
      <c r="K1100" s="5"/>
    </row>
    <row r="1101" spans="1:11" ht="18.75" customHeight="1" x14ac:dyDescent="0.3">
      <c r="A1101" s="30">
        <v>1119</v>
      </c>
      <c r="B1101" s="29"/>
      <c r="C1101" s="5" t="s">
        <v>40</v>
      </c>
      <c r="D1101" s="7">
        <v>528</v>
      </c>
      <c r="E1101" s="31">
        <v>135588</v>
      </c>
      <c r="F1101" s="29"/>
      <c r="G1101" s="32">
        <v>45542</v>
      </c>
      <c r="H1101" s="29"/>
      <c r="I1101" s="5" t="s">
        <v>15</v>
      </c>
      <c r="J1101" s="5" t="s">
        <v>30</v>
      </c>
      <c r="K1101" s="5"/>
    </row>
    <row r="1102" spans="1:11" ht="18.75" customHeight="1" x14ac:dyDescent="0.3">
      <c r="A1102" s="30">
        <v>1120</v>
      </c>
      <c r="B1102" s="29"/>
      <c r="C1102" s="5" t="s">
        <v>40</v>
      </c>
      <c r="D1102" s="7">
        <v>400</v>
      </c>
      <c r="E1102" s="31">
        <v>135533</v>
      </c>
      <c r="F1102" s="29"/>
      <c r="G1102" s="32">
        <v>45537</v>
      </c>
      <c r="H1102" s="29"/>
      <c r="I1102" s="5" t="s">
        <v>28</v>
      </c>
      <c r="J1102" s="5" t="s">
        <v>80</v>
      </c>
      <c r="K1102" s="5"/>
    </row>
    <row r="1103" spans="1:11" ht="18.75" customHeight="1" x14ac:dyDescent="0.3">
      <c r="A1103" s="30">
        <v>1121</v>
      </c>
      <c r="B1103" s="29"/>
      <c r="C1103" s="5" t="s">
        <v>40</v>
      </c>
      <c r="D1103" s="7">
        <v>643</v>
      </c>
      <c r="E1103" s="31">
        <v>136745</v>
      </c>
      <c r="F1103" s="29"/>
      <c r="G1103" s="32">
        <v>45537</v>
      </c>
      <c r="H1103" s="29"/>
      <c r="I1103" s="5" t="s">
        <v>28</v>
      </c>
      <c r="J1103" s="5" t="s">
        <v>80</v>
      </c>
      <c r="K1103" s="5"/>
    </row>
    <row r="1104" spans="1:11" ht="18.75" customHeight="1" x14ac:dyDescent="0.3">
      <c r="A1104" s="30">
        <v>1122</v>
      </c>
      <c r="B1104" s="29"/>
      <c r="C1104" s="5" t="s">
        <v>40</v>
      </c>
      <c r="D1104" s="7">
        <v>638</v>
      </c>
      <c r="E1104" s="31">
        <v>136746</v>
      </c>
      <c r="F1104" s="29"/>
      <c r="G1104" s="32">
        <v>45538</v>
      </c>
      <c r="H1104" s="29"/>
      <c r="I1104" s="5" t="s">
        <v>28</v>
      </c>
      <c r="J1104" s="5" t="s">
        <v>80</v>
      </c>
      <c r="K1104" s="5"/>
    </row>
    <row r="1105" spans="1:11" ht="18.75" customHeight="1" x14ac:dyDescent="0.3">
      <c r="A1105" s="30">
        <v>1123</v>
      </c>
      <c r="B1105" s="29"/>
      <c r="C1105" s="5" t="s">
        <v>40</v>
      </c>
      <c r="D1105" s="7">
        <v>291</v>
      </c>
      <c r="E1105" s="31">
        <v>135562</v>
      </c>
      <c r="F1105" s="29"/>
      <c r="G1105" s="32">
        <v>45538</v>
      </c>
      <c r="H1105" s="29"/>
      <c r="I1105" s="5" t="s">
        <v>28</v>
      </c>
      <c r="J1105" s="5" t="s">
        <v>80</v>
      </c>
      <c r="K1105" s="5"/>
    </row>
    <row r="1106" spans="1:11" ht="18.75" customHeight="1" x14ac:dyDescent="0.3">
      <c r="A1106" s="30">
        <v>1124</v>
      </c>
      <c r="B1106" s="29"/>
      <c r="C1106" s="5" t="s">
        <v>40</v>
      </c>
      <c r="D1106" s="7">
        <v>543</v>
      </c>
      <c r="E1106" s="31">
        <v>136752</v>
      </c>
      <c r="F1106" s="29"/>
      <c r="G1106" s="32">
        <v>45539</v>
      </c>
      <c r="H1106" s="29"/>
      <c r="I1106" s="5" t="s">
        <v>28</v>
      </c>
      <c r="J1106" s="5" t="s">
        <v>80</v>
      </c>
      <c r="K1106" s="5"/>
    </row>
    <row r="1107" spans="1:11" ht="18.75" customHeight="1" x14ac:dyDescent="0.3">
      <c r="A1107" s="30">
        <v>1125</v>
      </c>
      <c r="B1107" s="29"/>
      <c r="C1107" s="5" t="s">
        <v>40</v>
      </c>
      <c r="D1107" s="7">
        <v>316</v>
      </c>
      <c r="E1107" s="31">
        <v>135572</v>
      </c>
      <c r="F1107" s="29"/>
      <c r="G1107" s="32">
        <v>45539</v>
      </c>
      <c r="H1107" s="29"/>
      <c r="I1107" s="5" t="s">
        <v>28</v>
      </c>
      <c r="J1107" s="5" t="s">
        <v>80</v>
      </c>
      <c r="K1107" s="5"/>
    </row>
    <row r="1108" spans="1:11" ht="18.75" customHeight="1" x14ac:dyDescent="0.3">
      <c r="A1108" s="30">
        <v>1126</v>
      </c>
      <c r="B1108" s="29"/>
      <c r="C1108" s="5" t="s">
        <v>40</v>
      </c>
      <c r="D1108" s="7">
        <v>440</v>
      </c>
      <c r="E1108" s="31">
        <v>137087</v>
      </c>
      <c r="F1108" s="29"/>
      <c r="G1108" s="32">
        <v>45540</v>
      </c>
      <c r="H1108" s="29"/>
      <c r="I1108" s="5" t="s">
        <v>28</v>
      </c>
      <c r="J1108" s="5" t="s">
        <v>80</v>
      </c>
      <c r="K1108" s="5"/>
    </row>
    <row r="1109" spans="1:11" ht="18.75" customHeight="1" x14ac:dyDescent="0.3">
      <c r="A1109" s="30">
        <v>1127</v>
      </c>
      <c r="B1109" s="29"/>
      <c r="C1109" s="5" t="s">
        <v>40</v>
      </c>
      <c r="D1109" s="7">
        <v>393</v>
      </c>
      <c r="E1109" s="31">
        <v>135579</v>
      </c>
      <c r="F1109" s="29"/>
      <c r="G1109" s="32">
        <v>45540</v>
      </c>
      <c r="H1109" s="29"/>
      <c r="I1109" s="5" t="s">
        <v>28</v>
      </c>
      <c r="J1109" s="5" t="s">
        <v>80</v>
      </c>
      <c r="K1109" s="5"/>
    </row>
    <row r="1110" spans="1:11" ht="18.75" customHeight="1" x14ac:dyDescent="0.3">
      <c r="A1110" s="30">
        <v>1128</v>
      </c>
      <c r="B1110" s="29"/>
      <c r="C1110" s="5" t="s">
        <v>40</v>
      </c>
      <c r="D1110" s="7">
        <v>392</v>
      </c>
      <c r="E1110" s="31">
        <v>136756</v>
      </c>
      <c r="F1110" s="29"/>
      <c r="G1110" s="32">
        <v>45541</v>
      </c>
      <c r="H1110" s="29"/>
      <c r="I1110" s="5" t="s">
        <v>28</v>
      </c>
      <c r="J1110" s="5" t="s">
        <v>80</v>
      </c>
      <c r="K1110" s="5"/>
    </row>
    <row r="1111" spans="1:11" ht="18.75" customHeight="1" x14ac:dyDescent="0.3">
      <c r="A1111" s="30">
        <v>1129</v>
      </c>
      <c r="B1111" s="29"/>
      <c r="C1111" s="5" t="s">
        <v>40</v>
      </c>
      <c r="D1111" s="7">
        <v>632</v>
      </c>
      <c r="E1111" s="31">
        <v>136760</v>
      </c>
      <c r="F1111" s="29"/>
      <c r="G1111" s="32">
        <v>45541</v>
      </c>
      <c r="H1111" s="29"/>
      <c r="I1111" s="5" t="s">
        <v>28</v>
      </c>
      <c r="J1111" s="5" t="s">
        <v>80</v>
      </c>
      <c r="K1111" s="5"/>
    </row>
    <row r="1112" spans="1:11" ht="18.75" customHeight="1" x14ac:dyDescent="0.3">
      <c r="A1112" s="30">
        <v>1130</v>
      </c>
      <c r="B1112" s="29"/>
      <c r="C1112" s="5" t="s">
        <v>40</v>
      </c>
      <c r="D1112" s="7">
        <v>368</v>
      </c>
      <c r="E1112" s="31">
        <v>135590</v>
      </c>
      <c r="F1112" s="29"/>
      <c r="G1112" s="32">
        <v>45542</v>
      </c>
      <c r="H1112" s="29"/>
      <c r="I1112" s="5" t="s">
        <v>28</v>
      </c>
      <c r="J1112" s="5" t="s">
        <v>80</v>
      </c>
      <c r="K1112" s="5"/>
    </row>
    <row r="1113" spans="1:11" ht="18.75" customHeight="1" x14ac:dyDescent="0.3">
      <c r="A1113" s="30">
        <v>1131</v>
      </c>
      <c r="B1113" s="29"/>
      <c r="C1113" s="5" t="s">
        <v>40</v>
      </c>
      <c r="D1113" s="7">
        <v>692</v>
      </c>
      <c r="E1113" s="31">
        <v>135549</v>
      </c>
      <c r="F1113" s="29"/>
      <c r="G1113" s="32">
        <v>45542</v>
      </c>
      <c r="H1113" s="29"/>
      <c r="I1113" s="5" t="s">
        <v>28</v>
      </c>
      <c r="J1113" s="5" t="s">
        <v>80</v>
      </c>
      <c r="K1113" s="5"/>
    </row>
    <row r="1114" spans="1:11" ht="18.75" customHeight="1" x14ac:dyDescent="0.3">
      <c r="A1114" s="30">
        <v>1132</v>
      </c>
      <c r="B1114" s="29"/>
      <c r="C1114" s="5" t="s">
        <v>14</v>
      </c>
      <c r="D1114" s="7">
        <v>260</v>
      </c>
      <c r="E1114" s="31">
        <v>24175</v>
      </c>
      <c r="F1114" s="29"/>
      <c r="G1114" s="32">
        <v>45544</v>
      </c>
      <c r="H1114" s="29"/>
      <c r="I1114" s="5" t="s">
        <v>69</v>
      </c>
      <c r="J1114" s="5" t="s">
        <v>83</v>
      </c>
      <c r="K1114" s="5" t="s">
        <v>82</v>
      </c>
    </row>
    <row r="1115" spans="1:11" ht="18.75" customHeight="1" x14ac:dyDescent="0.3">
      <c r="A1115" s="30">
        <v>1133</v>
      </c>
      <c r="B1115" s="29"/>
      <c r="C1115" s="5" t="s">
        <v>14</v>
      </c>
      <c r="D1115" s="7">
        <v>285</v>
      </c>
      <c r="E1115" s="31">
        <v>24193</v>
      </c>
      <c r="F1115" s="29"/>
      <c r="G1115" s="32">
        <v>45545</v>
      </c>
      <c r="H1115" s="29"/>
      <c r="I1115" s="5" t="s">
        <v>69</v>
      </c>
      <c r="J1115" s="5" t="s">
        <v>83</v>
      </c>
      <c r="K1115" s="5" t="s">
        <v>82</v>
      </c>
    </row>
    <row r="1116" spans="1:11" ht="18.75" customHeight="1" x14ac:dyDescent="0.3">
      <c r="A1116" s="30">
        <v>1134</v>
      </c>
      <c r="B1116" s="29"/>
      <c r="C1116" s="5" t="s">
        <v>14</v>
      </c>
      <c r="D1116" s="7">
        <v>389</v>
      </c>
      <c r="E1116" s="31">
        <v>24254</v>
      </c>
      <c r="F1116" s="29"/>
      <c r="G1116" s="32">
        <v>45546</v>
      </c>
      <c r="H1116" s="29"/>
      <c r="I1116" s="5" t="s">
        <v>69</v>
      </c>
      <c r="J1116" s="5" t="s">
        <v>83</v>
      </c>
      <c r="K1116" s="5" t="s">
        <v>82</v>
      </c>
    </row>
    <row r="1117" spans="1:11" ht="18.75" customHeight="1" x14ac:dyDescent="0.3">
      <c r="A1117" s="30">
        <v>1135</v>
      </c>
      <c r="B1117" s="29"/>
      <c r="C1117" s="5" t="s">
        <v>14</v>
      </c>
      <c r="D1117" s="7">
        <v>263</v>
      </c>
      <c r="E1117" s="31">
        <v>24260</v>
      </c>
      <c r="F1117" s="29"/>
      <c r="G1117" s="32">
        <v>45547</v>
      </c>
      <c r="H1117" s="29"/>
      <c r="I1117" s="5" t="s">
        <v>69</v>
      </c>
      <c r="J1117" s="5" t="s">
        <v>83</v>
      </c>
      <c r="K1117" s="5" t="s">
        <v>82</v>
      </c>
    </row>
    <row r="1118" spans="1:11" ht="18.75" customHeight="1" x14ac:dyDescent="0.3">
      <c r="A1118" s="30">
        <v>1136</v>
      </c>
      <c r="B1118" s="29"/>
      <c r="C1118" s="5" t="s">
        <v>14</v>
      </c>
      <c r="D1118" s="7">
        <v>380</v>
      </c>
      <c r="E1118" s="31">
        <v>24275</v>
      </c>
      <c r="F1118" s="29"/>
      <c r="G1118" s="32">
        <v>45548</v>
      </c>
      <c r="H1118" s="29"/>
      <c r="I1118" s="5" t="s">
        <v>69</v>
      </c>
      <c r="J1118" s="5" t="s">
        <v>83</v>
      </c>
      <c r="K1118" s="5" t="s">
        <v>82</v>
      </c>
    </row>
    <row r="1119" spans="1:11" ht="18.75" customHeight="1" x14ac:dyDescent="0.3">
      <c r="A1119" s="30">
        <v>1137</v>
      </c>
      <c r="B1119" s="29"/>
      <c r="C1119" s="5" t="s">
        <v>14</v>
      </c>
      <c r="D1119" s="7">
        <v>328</v>
      </c>
      <c r="E1119" s="31">
        <v>24285</v>
      </c>
      <c r="F1119" s="29"/>
      <c r="G1119" s="32">
        <v>45549</v>
      </c>
      <c r="H1119" s="29"/>
      <c r="I1119" s="5" t="s">
        <v>69</v>
      </c>
      <c r="J1119" s="5" t="s">
        <v>83</v>
      </c>
      <c r="K1119" s="5" t="s">
        <v>82</v>
      </c>
    </row>
    <row r="1120" spans="1:11" ht="18.75" customHeight="1" x14ac:dyDescent="0.3">
      <c r="A1120" s="30">
        <v>1138</v>
      </c>
      <c r="B1120" s="29"/>
      <c r="C1120" s="5" t="s">
        <v>40</v>
      </c>
      <c r="D1120" s="7">
        <v>308</v>
      </c>
      <c r="E1120" s="31">
        <v>135594</v>
      </c>
      <c r="F1120" s="29"/>
      <c r="G1120" s="32">
        <v>45544</v>
      </c>
      <c r="H1120" s="29"/>
      <c r="I1120" s="5" t="s">
        <v>15</v>
      </c>
      <c r="J1120" s="5" t="s">
        <v>30</v>
      </c>
      <c r="K1120" s="5"/>
    </row>
    <row r="1121" spans="1:11" ht="18.75" customHeight="1" x14ac:dyDescent="0.3">
      <c r="A1121" s="30">
        <v>1139</v>
      </c>
      <c r="B1121" s="29"/>
      <c r="C1121" s="5" t="s">
        <v>40</v>
      </c>
      <c r="D1121" s="7">
        <v>405</v>
      </c>
      <c r="E1121" s="31">
        <v>136763</v>
      </c>
      <c r="F1121" s="29"/>
      <c r="G1121" s="32">
        <v>45545</v>
      </c>
      <c r="H1121" s="29"/>
      <c r="I1121" s="5" t="s">
        <v>15</v>
      </c>
      <c r="J1121" s="5" t="s">
        <v>30</v>
      </c>
      <c r="K1121" s="5"/>
    </row>
    <row r="1122" spans="1:11" ht="18.75" customHeight="1" x14ac:dyDescent="0.3">
      <c r="A1122" s="30">
        <v>1140</v>
      </c>
      <c r="B1122" s="29"/>
      <c r="C1122" s="5" t="s">
        <v>40</v>
      </c>
      <c r="D1122" s="7">
        <v>385</v>
      </c>
      <c r="E1122" s="31">
        <v>135651</v>
      </c>
      <c r="F1122" s="29"/>
      <c r="G1122" s="32">
        <v>45545</v>
      </c>
      <c r="H1122" s="29"/>
      <c r="I1122" s="5" t="s">
        <v>15</v>
      </c>
      <c r="J1122" s="5" t="s">
        <v>30</v>
      </c>
      <c r="K1122" s="5"/>
    </row>
    <row r="1123" spans="1:11" ht="18.75" customHeight="1" x14ac:dyDescent="0.3">
      <c r="A1123" s="30">
        <v>1141</v>
      </c>
      <c r="B1123" s="29"/>
      <c r="C1123" s="5" t="s">
        <v>40</v>
      </c>
      <c r="D1123" s="7">
        <v>392</v>
      </c>
      <c r="E1123" s="31">
        <v>136765</v>
      </c>
      <c r="F1123" s="29"/>
      <c r="G1123" s="32">
        <v>45546</v>
      </c>
      <c r="H1123" s="29"/>
      <c r="I1123" s="5" t="s">
        <v>15</v>
      </c>
      <c r="J1123" s="5" t="s">
        <v>30</v>
      </c>
      <c r="K1123" s="5"/>
    </row>
    <row r="1124" spans="1:11" ht="18.75" customHeight="1" x14ac:dyDescent="0.3">
      <c r="A1124" s="30">
        <v>1142</v>
      </c>
      <c r="B1124" s="29"/>
      <c r="C1124" s="5" t="s">
        <v>40</v>
      </c>
      <c r="D1124" s="7">
        <v>400</v>
      </c>
      <c r="E1124" s="31">
        <v>135657</v>
      </c>
      <c r="F1124" s="29"/>
      <c r="G1124" s="32">
        <v>45546</v>
      </c>
      <c r="H1124" s="29"/>
      <c r="I1124" s="5" t="s">
        <v>15</v>
      </c>
      <c r="J1124" s="5" t="s">
        <v>30</v>
      </c>
      <c r="K1124" s="5"/>
    </row>
    <row r="1125" spans="1:11" ht="18.75" customHeight="1" x14ac:dyDescent="0.3">
      <c r="A1125" s="30">
        <v>1143</v>
      </c>
      <c r="B1125" s="29"/>
      <c r="C1125" s="5" t="s">
        <v>40</v>
      </c>
      <c r="D1125" s="7">
        <v>589</v>
      </c>
      <c r="E1125" s="31">
        <v>137356</v>
      </c>
      <c r="F1125" s="29"/>
      <c r="G1125" s="32">
        <v>45547</v>
      </c>
      <c r="H1125" s="29"/>
      <c r="I1125" s="5" t="s">
        <v>15</v>
      </c>
      <c r="J1125" s="5" t="s">
        <v>30</v>
      </c>
      <c r="K1125" s="5"/>
    </row>
    <row r="1126" spans="1:11" ht="18.75" customHeight="1" x14ac:dyDescent="0.3">
      <c r="A1126" s="30">
        <v>1144</v>
      </c>
      <c r="B1126" s="29"/>
      <c r="C1126" s="5" t="s">
        <v>40</v>
      </c>
      <c r="D1126" s="7">
        <v>309</v>
      </c>
      <c r="E1126" s="31">
        <v>135610</v>
      </c>
      <c r="F1126" s="29"/>
      <c r="G1126" s="32">
        <v>45548</v>
      </c>
      <c r="H1126" s="29"/>
      <c r="I1126" s="5" t="s">
        <v>15</v>
      </c>
      <c r="J1126" s="5" t="s">
        <v>30</v>
      </c>
      <c r="K1126" s="5"/>
    </row>
    <row r="1127" spans="1:11" ht="18.75" customHeight="1" x14ac:dyDescent="0.3">
      <c r="A1127" s="30">
        <v>1145</v>
      </c>
      <c r="B1127" s="29"/>
      <c r="C1127" s="5" t="s">
        <v>40</v>
      </c>
      <c r="D1127" s="7">
        <v>272</v>
      </c>
      <c r="E1127" s="31">
        <v>135671</v>
      </c>
      <c r="F1127" s="29"/>
      <c r="G1127" s="32">
        <v>45548</v>
      </c>
      <c r="H1127" s="29"/>
      <c r="I1127" s="5" t="s">
        <v>15</v>
      </c>
      <c r="J1127" s="5" t="s">
        <v>30</v>
      </c>
      <c r="K1127" s="5"/>
    </row>
    <row r="1128" spans="1:11" ht="18.75" customHeight="1" x14ac:dyDescent="0.3">
      <c r="A1128" s="30">
        <v>1146</v>
      </c>
      <c r="B1128" s="29"/>
      <c r="C1128" s="5" t="s">
        <v>40</v>
      </c>
      <c r="D1128" s="7">
        <v>487</v>
      </c>
      <c r="E1128" s="31">
        <v>136773</v>
      </c>
      <c r="F1128" s="29"/>
      <c r="G1128" s="32">
        <v>45549</v>
      </c>
      <c r="H1128" s="29"/>
      <c r="I1128" s="5" t="s">
        <v>15</v>
      </c>
      <c r="J1128" s="5" t="s">
        <v>30</v>
      </c>
      <c r="K1128" s="5"/>
    </row>
    <row r="1129" spans="1:11" ht="18.75" customHeight="1" x14ac:dyDescent="0.3">
      <c r="A1129" s="30">
        <v>1147</v>
      </c>
      <c r="B1129" s="29"/>
      <c r="C1129" s="5" t="s">
        <v>40</v>
      </c>
      <c r="D1129" s="7">
        <v>288</v>
      </c>
      <c r="E1129" s="31">
        <v>135595</v>
      </c>
      <c r="F1129" s="29"/>
      <c r="G1129" s="32">
        <v>45544</v>
      </c>
      <c r="H1129" s="29"/>
      <c r="I1129" s="5" t="s">
        <v>28</v>
      </c>
      <c r="J1129" s="5" t="s">
        <v>80</v>
      </c>
      <c r="K1129" s="5"/>
    </row>
    <row r="1130" spans="1:11" ht="18.75" customHeight="1" x14ac:dyDescent="0.3">
      <c r="A1130" s="30">
        <v>1148</v>
      </c>
      <c r="B1130" s="29"/>
      <c r="C1130" s="5" t="s">
        <v>40</v>
      </c>
      <c r="D1130" s="7">
        <v>560</v>
      </c>
      <c r="E1130" s="31">
        <v>137099</v>
      </c>
      <c r="F1130" s="29"/>
      <c r="G1130" s="32">
        <v>45545</v>
      </c>
      <c r="H1130" s="29"/>
      <c r="I1130" s="5" t="s">
        <v>28</v>
      </c>
      <c r="J1130" s="5" t="s">
        <v>80</v>
      </c>
      <c r="K1130" s="5"/>
    </row>
    <row r="1131" spans="1:11" ht="18.75" customHeight="1" x14ac:dyDescent="0.3">
      <c r="A1131" s="30">
        <v>1149</v>
      </c>
      <c r="B1131" s="29"/>
      <c r="C1131" s="5" t="s">
        <v>40</v>
      </c>
      <c r="D1131" s="7">
        <v>599</v>
      </c>
      <c r="E1131" s="31">
        <v>135603</v>
      </c>
      <c r="F1131" s="29"/>
      <c r="G1131" s="32">
        <v>45545</v>
      </c>
      <c r="H1131" s="29"/>
      <c r="I1131" s="5" t="s">
        <v>28</v>
      </c>
      <c r="J1131" s="5" t="s">
        <v>80</v>
      </c>
      <c r="K1131" s="5"/>
    </row>
    <row r="1132" spans="1:11" ht="18.75" customHeight="1" x14ac:dyDescent="0.3">
      <c r="A1132" s="30">
        <v>1150</v>
      </c>
      <c r="B1132" s="29"/>
      <c r="C1132" s="5" t="s">
        <v>40</v>
      </c>
      <c r="D1132" s="7">
        <v>592</v>
      </c>
      <c r="E1132" s="31">
        <v>137353</v>
      </c>
      <c r="F1132" s="29"/>
      <c r="G1132" s="32">
        <v>45546</v>
      </c>
      <c r="H1132" s="29"/>
      <c r="I1132" s="5" t="s">
        <v>28</v>
      </c>
      <c r="J1132" s="5" t="s">
        <v>80</v>
      </c>
      <c r="K1132" s="5"/>
    </row>
    <row r="1133" spans="1:11" ht="18.75" customHeight="1" x14ac:dyDescent="0.3">
      <c r="A1133" s="30">
        <v>1151</v>
      </c>
      <c r="B1133" s="29"/>
      <c r="C1133" s="5" t="s">
        <v>40</v>
      </c>
      <c r="D1133" s="7">
        <v>405</v>
      </c>
      <c r="E1133" s="31">
        <v>136768</v>
      </c>
      <c r="F1133" s="29"/>
      <c r="G1133" s="32">
        <v>45547</v>
      </c>
      <c r="H1133" s="29"/>
      <c r="I1133" s="5" t="s">
        <v>28</v>
      </c>
      <c r="J1133" s="5" t="s">
        <v>80</v>
      </c>
      <c r="K1133" s="5"/>
    </row>
    <row r="1134" spans="1:11" ht="18.75" customHeight="1" x14ac:dyDescent="0.3">
      <c r="A1134" s="30">
        <v>1152</v>
      </c>
      <c r="B1134" s="29"/>
      <c r="C1134" s="5" t="s">
        <v>40</v>
      </c>
      <c r="D1134" s="7">
        <v>504</v>
      </c>
      <c r="E1134" s="31">
        <v>135661</v>
      </c>
      <c r="F1134" s="29"/>
      <c r="G1134" s="32">
        <v>45547</v>
      </c>
      <c r="H1134" s="29"/>
      <c r="I1134" s="5" t="s">
        <v>28</v>
      </c>
      <c r="J1134" s="5" t="s">
        <v>80</v>
      </c>
      <c r="K1134" s="5"/>
    </row>
    <row r="1135" spans="1:11" ht="18.75" customHeight="1" x14ac:dyDescent="0.3">
      <c r="A1135" s="30">
        <v>1153</v>
      </c>
      <c r="B1135" s="29"/>
      <c r="C1135" s="5" t="s">
        <v>40</v>
      </c>
      <c r="D1135" s="7">
        <v>388</v>
      </c>
      <c r="E1135" s="31">
        <v>136772</v>
      </c>
      <c r="F1135" s="29"/>
      <c r="G1135" s="32">
        <v>45548</v>
      </c>
      <c r="H1135" s="29"/>
      <c r="I1135" s="5" t="s">
        <v>28</v>
      </c>
      <c r="J1135" s="5" t="s">
        <v>80</v>
      </c>
      <c r="K1135" s="5"/>
    </row>
    <row r="1136" spans="1:11" ht="18.75" customHeight="1" x14ac:dyDescent="0.3">
      <c r="A1136" s="30">
        <v>1154</v>
      </c>
      <c r="B1136" s="29"/>
      <c r="C1136" s="5" t="s">
        <v>40</v>
      </c>
      <c r="D1136" s="7">
        <v>403</v>
      </c>
      <c r="E1136" s="31">
        <v>135674</v>
      </c>
      <c r="F1136" s="29"/>
      <c r="G1136" s="32">
        <v>45549</v>
      </c>
      <c r="H1136" s="29"/>
      <c r="I1136" s="5" t="s">
        <v>28</v>
      </c>
      <c r="J1136" s="5" t="s">
        <v>80</v>
      </c>
      <c r="K1136" s="5"/>
    </row>
    <row r="1137" spans="1:11" ht="18.75" customHeight="1" x14ac:dyDescent="0.3">
      <c r="A1137" s="30">
        <v>1155</v>
      </c>
      <c r="B1137" s="29"/>
      <c r="C1137" s="5" t="s">
        <v>40</v>
      </c>
      <c r="D1137" s="7">
        <v>477</v>
      </c>
      <c r="E1137" s="31">
        <v>135614</v>
      </c>
      <c r="F1137" s="29"/>
      <c r="G1137" s="32">
        <v>45549</v>
      </c>
      <c r="H1137" s="29"/>
      <c r="I1137" s="5" t="s">
        <v>28</v>
      </c>
      <c r="J1137" s="5" t="s">
        <v>80</v>
      </c>
      <c r="K1137" s="5"/>
    </row>
    <row r="1138" spans="1:11" ht="18.75" customHeight="1" x14ac:dyDescent="0.3">
      <c r="A1138" s="30">
        <v>1156</v>
      </c>
      <c r="B1138" s="29"/>
      <c r="C1138" s="5" t="s">
        <v>40</v>
      </c>
      <c r="D1138" s="7">
        <v>405</v>
      </c>
      <c r="E1138" s="31">
        <v>136777</v>
      </c>
      <c r="F1138" s="29"/>
      <c r="G1138" s="32">
        <v>45551</v>
      </c>
      <c r="H1138" s="29"/>
      <c r="I1138" s="5" t="s">
        <v>15</v>
      </c>
      <c r="J1138" s="5" t="s">
        <v>30</v>
      </c>
      <c r="K1138" s="5"/>
    </row>
    <row r="1139" spans="1:11" ht="18.75" customHeight="1" x14ac:dyDescent="0.3">
      <c r="A1139" s="30">
        <v>1157</v>
      </c>
      <c r="B1139" s="29"/>
      <c r="C1139" s="5" t="s">
        <v>40</v>
      </c>
      <c r="D1139" s="7">
        <v>288</v>
      </c>
      <c r="E1139" s="31">
        <v>135689</v>
      </c>
      <c r="F1139" s="29"/>
      <c r="G1139" s="32">
        <v>45552</v>
      </c>
      <c r="H1139" s="29"/>
      <c r="I1139" s="5" t="s">
        <v>15</v>
      </c>
      <c r="J1139" s="5" t="s">
        <v>30</v>
      </c>
      <c r="K1139" s="5"/>
    </row>
    <row r="1140" spans="1:11" ht="18.75" customHeight="1" x14ac:dyDescent="0.3">
      <c r="A1140" s="30">
        <v>1158</v>
      </c>
      <c r="B1140" s="29"/>
      <c r="C1140" s="5" t="s">
        <v>40</v>
      </c>
      <c r="D1140" s="7">
        <v>660</v>
      </c>
      <c r="E1140" s="31">
        <v>136779</v>
      </c>
      <c r="F1140" s="29"/>
      <c r="G1140" s="32">
        <v>45552</v>
      </c>
      <c r="H1140" s="29"/>
      <c r="I1140" s="5" t="s">
        <v>15</v>
      </c>
      <c r="J1140" s="5" t="s">
        <v>30</v>
      </c>
      <c r="K1140" s="5"/>
    </row>
    <row r="1141" spans="1:11" ht="18.75" customHeight="1" x14ac:dyDescent="0.3">
      <c r="A1141" s="30">
        <v>1159</v>
      </c>
      <c r="B1141" s="29"/>
      <c r="C1141" s="5" t="s">
        <v>40</v>
      </c>
      <c r="D1141" s="7">
        <v>392</v>
      </c>
      <c r="E1141" s="31">
        <v>136782</v>
      </c>
      <c r="F1141" s="29"/>
      <c r="G1141" s="32">
        <v>45553</v>
      </c>
      <c r="H1141" s="29"/>
      <c r="I1141" s="5" t="s">
        <v>15</v>
      </c>
      <c r="J1141" s="5" t="s">
        <v>30</v>
      </c>
      <c r="K1141" s="5"/>
    </row>
    <row r="1142" spans="1:11" ht="18.75" customHeight="1" x14ac:dyDescent="0.3">
      <c r="A1142" s="30">
        <v>1160</v>
      </c>
      <c r="B1142" s="29"/>
      <c r="C1142" s="5" t="s">
        <v>40</v>
      </c>
      <c r="D1142" s="7">
        <v>405</v>
      </c>
      <c r="E1142" s="31">
        <v>136786</v>
      </c>
      <c r="F1142" s="29"/>
      <c r="G1142" s="32">
        <v>45554</v>
      </c>
      <c r="H1142" s="29"/>
      <c r="I1142" s="5" t="s">
        <v>15</v>
      </c>
      <c r="J1142" s="5" t="s">
        <v>30</v>
      </c>
      <c r="K1142" s="5"/>
    </row>
    <row r="1143" spans="1:11" ht="18.75" customHeight="1" x14ac:dyDescent="0.3">
      <c r="A1143" s="30">
        <v>1161</v>
      </c>
      <c r="B1143" s="29"/>
      <c r="C1143" s="5" t="s">
        <v>40</v>
      </c>
      <c r="D1143" s="7">
        <v>280</v>
      </c>
      <c r="E1143" s="31">
        <v>136202</v>
      </c>
      <c r="F1143" s="29"/>
      <c r="G1143" s="32">
        <v>45554</v>
      </c>
      <c r="H1143" s="29"/>
      <c r="I1143" s="5" t="s">
        <v>15</v>
      </c>
      <c r="J1143" s="5" t="s">
        <v>30</v>
      </c>
      <c r="K1143" s="5"/>
    </row>
    <row r="1144" spans="1:11" ht="18.75" customHeight="1" x14ac:dyDescent="0.3">
      <c r="A1144" s="30">
        <v>1162</v>
      </c>
      <c r="B1144" s="29"/>
      <c r="C1144" s="5" t="s">
        <v>40</v>
      </c>
      <c r="D1144" s="7">
        <v>470</v>
      </c>
      <c r="E1144" s="31">
        <v>136790</v>
      </c>
      <c r="F1144" s="29"/>
      <c r="G1144" s="32">
        <v>45555</v>
      </c>
      <c r="H1144" s="29"/>
      <c r="I1144" s="5" t="s">
        <v>15</v>
      </c>
      <c r="J1144" s="5" t="s">
        <v>30</v>
      </c>
      <c r="K1144" s="5"/>
    </row>
    <row r="1145" spans="1:11" ht="18.75" customHeight="1" x14ac:dyDescent="0.3">
      <c r="A1145" s="30">
        <v>1163</v>
      </c>
      <c r="B1145" s="29"/>
      <c r="C1145" s="5" t="s">
        <v>40</v>
      </c>
      <c r="D1145" s="7">
        <v>303</v>
      </c>
      <c r="E1145" s="31">
        <v>135680</v>
      </c>
      <c r="F1145" s="29"/>
      <c r="G1145" s="32">
        <v>45551</v>
      </c>
      <c r="H1145" s="29"/>
      <c r="I1145" s="5" t="s">
        <v>28</v>
      </c>
      <c r="J1145" s="5" t="s">
        <v>80</v>
      </c>
      <c r="K1145" s="5"/>
    </row>
    <row r="1146" spans="1:11" ht="18.75" customHeight="1" x14ac:dyDescent="0.3">
      <c r="A1146" s="30">
        <v>1164</v>
      </c>
      <c r="B1146" s="29"/>
      <c r="C1146" s="5" t="s">
        <v>40</v>
      </c>
      <c r="D1146" s="7">
        <v>360</v>
      </c>
      <c r="E1146" s="31">
        <v>135617</v>
      </c>
      <c r="F1146" s="29"/>
      <c r="G1146" s="32">
        <v>45552</v>
      </c>
      <c r="H1146" s="29"/>
      <c r="I1146" s="5" t="s">
        <v>28</v>
      </c>
      <c r="J1146" s="5" t="s">
        <v>80</v>
      </c>
      <c r="K1146" s="5"/>
    </row>
    <row r="1147" spans="1:11" ht="18.75" customHeight="1" x14ac:dyDescent="0.3">
      <c r="A1147" s="30">
        <v>1165</v>
      </c>
      <c r="B1147" s="29"/>
      <c r="C1147" s="5" t="s">
        <v>40</v>
      </c>
      <c r="D1147" s="7">
        <v>392</v>
      </c>
      <c r="E1147" s="31">
        <v>136781</v>
      </c>
      <c r="F1147" s="29"/>
      <c r="G1147" s="32">
        <v>45552</v>
      </c>
      <c r="H1147" s="29"/>
      <c r="I1147" s="5" t="s">
        <v>28</v>
      </c>
      <c r="J1147" s="5" t="s">
        <v>80</v>
      </c>
      <c r="K1147" s="5"/>
    </row>
    <row r="1148" spans="1:11" ht="18.75" customHeight="1" x14ac:dyDescent="0.3">
      <c r="A1148" s="30">
        <v>1166</v>
      </c>
      <c r="B1148" s="29"/>
      <c r="C1148" s="5" t="s">
        <v>40</v>
      </c>
      <c r="D1148" s="7">
        <v>520</v>
      </c>
      <c r="E1148" s="31">
        <v>135692</v>
      </c>
      <c r="F1148" s="29"/>
      <c r="G1148" s="32">
        <v>45553</v>
      </c>
      <c r="H1148" s="29"/>
      <c r="I1148" s="5" t="s">
        <v>28</v>
      </c>
      <c r="J1148" s="5" t="s">
        <v>80</v>
      </c>
      <c r="K1148" s="5"/>
    </row>
    <row r="1149" spans="1:11" ht="18.75" customHeight="1" x14ac:dyDescent="0.3">
      <c r="A1149" s="30">
        <v>1167</v>
      </c>
      <c r="B1149" s="29"/>
      <c r="C1149" s="5" t="s">
        <v>40</v>
      </c>
      <c r="D1149" s="7">
        <v>386</v>
      </c>
      <c r="E1149" s="31">
        <v>136788</v>
      </c>
      <c r="F1149" s="29"/>
      <c r="G1149" s="32">
        <v>45554</v>
      </c>
      <c r="H1149" s="29"/>
      <c r="I1149" s="5" t="s">
        <v>28</v>
      </c>
      <c r="J1149" s="5" t="s">
        <v>80</v>
      </c>
      <c r="K1149" s="5"/>
    </row>
    <row r="1150" spans="1:11" ht="18.75" customHeight="1" x14ac:dyDescent="0.3">
      <c r="A1150" s="30">
        <v>1168</v>
      </c>
      <c r="B1150" s="29"/>
      <c r="C1150" s="5" t="s">
        <v>40</v>
      </c>
      <c r="D1150" s="7">
        <v>635</v>
      </c>
      <c r="E1150" s="31">
        <v>137371</v>
      </c>
      <c r="F1150" s="29"/>
      <c r="G1150" s="32">
        <v>45555</v>
      </c>
      <c r="H1150" s="29"/>
      <c r="I1150" s="5" t="s">
        <v>28</v>
      </c>
      <c r="J1150" s="5" t="s">
        <v>80</v>
      </c>
      <c r="K1150" s="5"/>
    </row>
    <row r="1151" spans="1:11" ht="18.75" customHeight="1" x14ac:dyDescent="0.3">
      <c r="A1151" s="30">
        <v>1169</v>
      </c>
      <c r="B1151" s="29"/>
      <c r="C1151" s="5" t="s">
        <v>40</v>
      </c>
      <c r="D1151" s="7">
        <v>429</v>
      </c>
      <c r="E1151" s="31">
        <v>136208</v>
      </c>
      <c r="F1151" s="29"/>
      <c r="G1151" s="32">
        <v>45555</v>
      </c>
      <c r="H1151" s="29"/>
      <c r="I1151" s="5" t="s">
        <v>28</v>
      </c>
      <c r="J1151" s="5" t="s">
        <v>80</v>
      </c>
      <c r="K1151" s="5"/>
    </row>
    <row r="1152" spans="1:11" ht="18.75" customHeight="1" x14ac:dyDescent="0.3">
      <c r="A1152" s="30">
        <v>1170</v>
      </c>
      <c r="B1152" s="29"/>
      <c r="C1152" s="5" t="s">
        <v>40</v>
      </c>
      <c r="D1152" s="7">
        <v>415</v>
      </c>
      <c r="E1152" s="31">
        <v>136795</v>
      </c>
      <c r="F1152" s="29"/>
      <c r="G1152" s="32">
        <v>45556</v>
      </c>
      <c r="H1152" s="29"/>
      <c r="I1152" s="5" t="s">
        <v>28</v>
      </c>
      <c r="J1152" s="5" t="s">
        <v>80</v>
      </c>
      <c r="K1152" s="5"/>
    </row>
    <row r="1153" spans="1:11" ht="18.75" customHeight="1" x14ac:dyDescent="0.3">
      <c r="A1153" s="30">
        <v>1171</v>
      </c>
      <c r="B1153" s="29"/>
      <c r="C1153" s="5" t="s">
        <v>40</v>
      </c>
      <c r="D1153" s="7">
        <v>660</v>
      </c>
      <c r="E1153" s="31">
        <v>136792</v>
      </c>
      <c r="F1153" s="29"/>
      <c r="G1153" s="32">
        <v>45556</v>
      </c>
      <c r="H1153" s="29"/>
      <c r="I1153" s="5" t="s">
        <v>15</v>
      </c>
      <c r="J1153" s="5" t="s">
        <v>30</v>
      </c>
      <c r="K1153" s="5"/>
    </row>
    <row r="1154" spans="1:11" ht="18.75" customHeight="1" x14ac:dyDescent="0.3">
      <c r="A1154" s="30">
        <v>1172</v>
      </c>
      <c r="B1154" s="29"/>
      <c r="C1154" s="5" t="s">
        <v>14</v>
      </c>
      <c r="D1154" s="7">
        <v>370</v>
      </c>
      <c r="E1154" s="31">
        <v>24988</v>
      </c>
      <c r="F1154" s="29"/>
      <c r="G1154" s="32">
        <v>45559</v>
      </c>
      <c r="H1154" s="29"/>
      <c r="I1154" s="5" t="s">
        <v>84</v>
      </c>
      <c r="J1154" s="5" t="s">
        <v>85</v>
      </c>
      <c r="K1154" s="5" t="s">
        <v>70</v>
      </c>
    </row>
    <row r="1155" spans="1:11" ht="18.75" customHeight="1" x14ac:dyDescent="0.3">
      <c r="A1155" s="30">
        <v>1173</v>
      </c>
      <c r="B1155" s="29"/>
      <c r="C1155" s="5" t="s">
        <v>14</v>
      </c>
      <c r="D1155" s="7">
        <v>263</v>
      </c>
      <c r="E1155" s="31">
        <v>24998</v>
      </c>
      <c r="F1155" s="29"/>
      <c r="G1155" s="32">
        <v>45560</v>
      </c>
      <c r="H1155" s="29"/>
      <c r="I1155" s="5" t="s">
        <v>84</v>
      </c>
      <c r="J1155" s="5" t="s">
        <v>85</v>
      </c>
      <c r="K1155" s="5" t="s">
        <v>70</v>
      </c>
    </row>
    <row r="1156" spans="1:11" ht="18.75" customHeight="1" x14ac:dyDescent="0.3">
      <c r="A1156" s="30">
        <v>1174</v>
      </c>
      <c r="B1156" s="29"/>
      <c r="C1156" s="5" t="s">
        <v>14</v>
      </c>
      <c r="D1156" s="7">
        <v>328</v>
      </c>
      <c r="E1156" s="31">
        <v>24309</v>
      </c>
      <c r="F1156" s="29"/>
      <c r="G1156" s="32">
        <v>45561</v>
      </c>
      <c r="H1156" s="29"/>
      <c r="I1156" s="5" t="s">
        <v>84</v>
      </c>
      <c r="J1156" s="5" t="s">
        <v>85</v>
      </c>
      <c r="K1156" s="5" t="s">
        <v>70</v>
      </c>
    </row>
    <row r="1157" spans="1:11" ht="18.75" customHeight="1" x14ac:dyDescent="0.3">
      <c r="A1157" s="30">
        <v>1175</v>
      </c>
      <c r="B1157" s="29"/>
      <c r="C1157" s="5" t="s">
        <v>14</v>
      </c>
      <c r="D1157" s="7">
        <v>222</v>
      </c>
      <c r="E1157" s="31">
        <v>24319</v>
      </c>
      <c r="F1157" s="29"/>
      <c r="G1157" s="32">
        <v>45562</v>
      </c>
      <c r="H1157" s="29"/>
      <c r="I1157" s="5" t="s">
        <v>84</v>
      </c>
      <c r="J1157" s="5" t="s">
        <v>85</v>
      </c>
      <c r="K1157" s="5" t="s">
        <v>70</v>
      </c>
    </row>
    <row r="1158" spans="1:11" ht="18.75" customHeight="1" x14ac:dyDescent="0.3">
      <c r="A1158" s="30">
        <v>1176</v>
      </c>
      <c r="B1158" s="29"/>
      <c r="C1158" s="5" t="s">
        <v>14</v>
      </c>
      <c r="D1158" s="7">
        <v>271</v>
      </c>
      <c r="E1158" s="31">
        <v>24341</v>
      </c>
      <c r="F1158" s="29"/>
      <c r="G1158" s="32">
        <v>45563</v>
      </c>
      <c r="H1158" s="29"/>
      <c r="I1158" s="5" t="s">
        <v>84</v>
      </c>
      <c r="J1158" s="5" t="s">
        <v>85</v>
      </c>
      <c r="K1158" s="5" t="s">
        <v>70</v>
      </c>
    </row>
    <row r="1159" spans="1:11" ht="18.75" customHeight="1" x14ac:dyDescent="0.3">
      <c r="A1159" s="30">
        <v>1177</v>
      </c>
      <c r="B1159" s="29"/>
      <c r="C1159" s="5" t="s">
        <v>40</v>
      </c>
      <c r="D1159" s="7">
        <v>520</v>
      </c>
      <c r="E1159" s="31">
        <v>136796</v>
      </c>
      <c r="F1159" s="29"/>
      <c r="G1159" s="32">
        <v>45558</v>
      </c>
      <c r="H1159" s="29"/>
      <c r="I1159" s="5" t="s">
        <v>15</v>
      </c>
      <c r="J1159" s="5" t="s">
        <v>30</v>
      </c>
      <c r="K1159" s="5"/>
    </row>
    <row r="1160" spans="1:11" ht="18.75" customHeight="1" x14ac:dyDescent="0.3">
      <c r="A1160" s="30">
        <v>1178</v>
      </c>
      <c r="B1160" s="29"/>
      <c r="C1160" s="5" t="s">
        <v>40</v>
      </c>
      <c r="D1160" s="7">
        <v>392</v>
      </c>
      <c r="E1160" s="31">
        <v>135705</v>
      </c>
      <c r="F1160" s="29"/>
      <c r="G1160" s="32">
        <v>45559</v>
      </c>
      <c r="H1160" s="29"/>
      <c r="I1160" s="5" t="s">
        <v>15</v>
      </c>
      <c r="J1160" s="5" t="s">
        <v>30</v>
      </c>
      <c r="K1160" s="5"/>
    </row>
    <row r="1161" spans="1:11" ht="18.75" customHeight="1" x14ac:dyDescent="0.3">
      <c r="A1161" s="30">
        <v>1179</v>
      </c>
      <c r="B1161" s="29"/>
      <c r="C1161" s="5" t="s">
        <v>40</v>
      </c>
      <c r="D1161" s="7">
        <v>660</v>
      </c>
      <c r="E1161" s="31">
        <v>136803</v>
      </c>
      <c r="F1161" s="29"/>
      <c r="G1161" s="32">
        <v>45559</v>
      </c>
      <c r="H1161" s="29"/>
      <c r="I1161" s="5" t="s">
        <v>15</v>
      </c>
      <c r="J1161" s="5" t="s">
        <v>30</v>
      </c>
      <c r="K1161" s="5"/>
    </row>
    <row r="1162" spans="1:11" ht="18.75" customHeight="1" x14ac:dyDescent="0.3">
      <c r="A1162" s="30">
        <v>1180</v>
      </c>
      <c r="B1162" s="29"/>
      <c r="C1162" s="5" t="s">
        <v>40</v>
      </c>
      <c r="D1162" s="7">
        <v>500</v>
      </c>
      <c r="E1162" s="31">
        <v>136804</v>
      </c>
      <c r="F1162" s="29"/>
      <c r="G1162" s="32">
        <v>45560</v>
      </c>
      <c r="H1162" s="29"/>
      <c r="I1162" s="5" t="s">
        <v>15</v>
      </c>
      <c r="J1162" s="5" t="s">
        <v>30</v>
      </c>
      <c r="K1162" s="5"/>
    </row>
    <row r="1163" spans="1:11" ht="18.75" customHeight="1" x14ac:dyDescent="0.3">
      <c r="A1163" s="30">
        <v>1181</v>
      </c>
      <c r="B1163" s="29"/>
      <c r="C1163" s="5" t="s">
        <v>40</v>
      </c>
      <c r="D1163" s="7">
        <v>369</v>
      </c>
      <c r="E1163" s="31">
        <v>135632</v>
      </c>
      <c r="F1163" s="29"/>
      <c r="G1163" s="32">
        <v>45561</v>
      </c>
      <c r="H1163" s="29"/>
      <c r="I1163" s="5" t="s">
        <v>15</v>
      </c>
      <c r="J1163" s="5" t="s">
        <v>30</v>
      </c>
      <c r="K1163" s="5"/>
    </row>
    <row r="1164" spans="1:11" ht="18.75" customHeight="1" x14ac:dyDescent="0.3">
      <c r="A1164" s="30">
        <v>1182</v>
      </c>
      <c r="B1164" s="29"/>
      <c r="C1164" s="5" t="s">
        <v>40</v>
      </c>
      <c r="D1164" s="7">
        <v>500</v>
      </c>
      <c r="E1164" s="31">
        <v>136810</v>
      </c>
      <c r="F1164" s="29"/>
      <c r="G1164" s="32">
        <v>45562</v>
      </c>
      <c r="H1164" s="29"/>
      <c r="I1164" s="5" t="s">
        <v>15</v>
      </c>
      <c r="J1164" s="5" t="s">
        <v>30</v>
      </c>
      <c r="K1164" s="5"/>
    </row>
    <row r="1165" spans="1:11" ht="18.75" customHeight="1" x14ac:dyDescent="0.3">
      <c r="A1165" s="30">
        <v>1183</v>
      </c>
      <c r="B1165" s="29"/>
      <c r="C1165" s="5" t="s">
        <v>40</v>
      </c>
      <c r="D1165" s="7">
        <v>304</v>
      </c>
      <c r="E1165" s="31">
        <v>135726</v>
      </c>
      <c r="F1165" s="29"/>
      <c r="G1165" s="32">
        <v>45563</v>
      </c>
      <c r="H1165" s="29"/>
      <c r="I1165" s="5" t="s">
        <v>15</v>
      </c>
      <c r="J1165" s="5" t="s">
        <v>30</v>
      </c>
      <c r="K1165" s="5"/>
    </row>
    <row r="1166" spans="1:11" ht="18.75" customHeight="1" x14ac:dyDescent="0.3">
      <c r="A1166" s="30">
        <v>1184</v>
      </c>
      <c r="B1166" s="29"/>
      <c r="C1166" s="5" t="s">
        <v>40</v>
      </c>
      <c r="D1166" s="7">
        <v>500</v>
      </c>
      <c r="E1166" s="31">
        <v>136814</v>
      </c>
      <c r="F1166" s="29"/>
      <c r="G1166" s="32">
        <v>45563</v>
      </c>
      <c r="H1166" s="29"/>
      <c r="I1166" s="5" t="s">
        <v>15</v>
      </c>
      <c r="J1166" s="5" t="s">
        <v>30</v>
      </c>
      <c r="K1166" s="5"/>
    </row>
    <row r="1167" spans="1:11" ht="18.75" customHeight="1" x14ac:dyDescent="0.3">
      <c r="A1167" s="30">
        <v>1185</v>
      </c>
      <c r="B1167" s="29"/>
      <c r="C1167" s="5" t="s">
        <v>40</v>
      </c>
      <c r="D1167" s="7">
        <v>376</v>
      </c>
      <c r="E1167" s="31">
        <v>136222</v>
      </c>
      <c r="F1167" s="29"/>
      <c r="G1167" s="32">
        <v>45558</v>
      </c>
      <c r="H1167" s="29"/>
      <c r="I1167" s="5" t="s">
        <v>28</v>
      </c>
      <c r="J1167" s="5" t="s">
        <v>80</v>
      </c>
      <c r="K1167" s="5"/>
    </row>
    <row r="1168" spans="1:11" ht="18.75" customHeight="1" x14ac:dyDescent="0.3">
      <c r="A1168" s="30">
        <v>1186</v>
      </c>
      <c r="B1168" s="29"/>
      <c r="C1168" s="5" t="s">
        <v>40</v>
      </c>
      <c r="D1168" s="7">
        <v>660</v>
      </c>
      <c r="E1168" s="31">
        <v>136801</v>
      </c>
      <c r="F1168" s="29"/>
      <c r="G1168" s="32">
        <v>45559</v>
      </c>
      <c r="H1168" s="29"/>
      <c r="I1168" s="5" t="s">
        <v>28</v>
      </c>
      <c r="J1168" s="5" t="s">
        <v>80</v>
      </c>
      <c r="K1168" s="5"/>
    </row>
    <row r="1169" spans="1:11" ht="18.75" customHeight="1" x14ac:dyDescent="0.3">
      <c r="A1169" s="30">
        <v>1187</v>
      </c>
      <c r="B1169" s="29"/>
      <c r="C1169" s="5" t="s">
        <v>40</v>
      </c>
      <c r="D1169" s="7">
        <v>295</v>
      </c>
      <c r="E1169" s="31">
        <v>135629</v>
      </c>
      <c r="F1169" s="29"/>
      <c r="G1169" s="32">
        <v>45560</v>
      </c>
      <c r="H1169" s="29"/>
      <c r="I1169" s="5" t="s">
        <v>28</v>
      </c>
      <c r="J1169" s="5" t="s">
        <v>80</v>
      </c>
      <c r="K1169" s="5"/>
    </row>
    <row r="1170" spans="1:11" ht="18.75" customHeight="1" x14ac:dyDescent="0.3">
      <c r="A1170" s="30">
        <v>1188</v>
      </c>
      <c r="B1170" s="29"/>
      <c r="C1170" s="5" t="s">
        <v>40</v>
      </c>
      <c r="D1170" s="7">
        <v>466</v>
      </c>
      <c r="E1170" s="31">
        <v>135712</v>
      </c>
      <c r="F1170" s="29"/>
      <c r="G1170" s="32">
        <v>45561</v>
      </c>
      <c r="H1170" s="29"/>
      <c r="I1170" s="5" t="s">
        <v>28</v>
      </c>
      <c r="J1170" s="5" t="s">
        <v>80</v>
      </c>
      <c r="K1170" s="5"/>
    </row>
    <row r="1171" spans="1:11" ht="18.75" customHeight="1" x14ac:dyDescent="0.3">
      <c r="A1171" s="30">
        <v>1189</v>
      </c>
      <c r="B1171" s="29"/>
      <c r="C1171" s="5" t="s">
        <v>40</v>
      </c>
      <c r="D1171" s="7">
        <v>390</v>
      </c>
      <c r="E1171" s="31">
        <v>135721</v>
      </c>
      <c r="F1171" s="29"/>
      <c r="G1171" s="32">
        <v>45562</v>
      </c>
      <c r="H1171" s="29"/>
      <c r="I1171" s="5" t="s">
        <v>28</v>
      </c>
      <c r="J1171" s="5" t="s">
        <v>80</v>
      </c>
      <c r="K1171" s="5"/>
    </row>
    <row r="1172" spans="1:11" ht="18.75" customHeight="1" x14ac:dyDescent="0.3">
      <c r="A1172" s="30">
        <v>1190</v>
      </c>
      <c r="B1172" s="29"/>
      <c r="C1172" s="5" t="s">
        <v>40</v>
      </c>
      <c r="D1172" s="7">
        <v>498</v>
      </c>
      <c r="E1172" s="31">
        <v>136808</v>
      </c>
      <c r="F1172" s="29"/>
      <c r="G1172" s="32">
        <v>45562</v>
      </c>
      <c r="H1172" s="29"/>
      <c r="I1172" s="5" t="s">
        <v>28</v>
      </c>
      <c r="J1172" s="5" t="s">
        <v>80</v>
      </c>
      <c r="K1172" s="5"/>
    </row>
    <row r="1173" spans="1:11" ht="18.75" customHeight="1" x14ac:dyDescent="0.3">
      <c r="A1173" s="30">
        <v>1191</v>
      </c>
      <c r="B1173" s="29"/>
      <c r="C1173" s="5" t="s">
        <v>40</v>
      </c>
      <c r="D1173" s="7">
        <v>500</v>
      </c>
      <c r="E1173" s="31">
        <v>136816</v>
      </c>
      <c r="F1173" s="29"/>
      <c r="G1173" s="32">
        <v>45563</v>
      </c>
      <c r="H1173" s="29"/>
      <c r="I1173" s="5" t="s">
        <v>28</v>
      </c>
      <c r="J1173" s="5" t="s">
        <v>80</v>
      </c>
      <c r="K1173" s="5"/>
    </row>
    <row r="1174" spans="1:11" ht="18.75" customHeight="1" x14ac:dyDescent="0.3">
      <c r="A1174" s="30">
        <v>1192</v>
      </c>
      <c r="B1174" s="29"/>
      <c r="C1174" s="5" t="s">
        <v>14</v>
      </c>
      <c r="D1174" s="7">
        <v>423</v>
      </c>
      <c r="E1174" s="31">
        <v>24355</v>
      </c>
      <c r="F1174" s="29"/>
      <c r="G1174" s="32">
        <v>45565</v>
      </c>
      <c r="H1174" s="29"/>
      <c r="I1174" s="5" t="s">
        <v>84</v>
      </c>
      <c r="J1174" s="5" t="s">
        <v>85</v>
      </c>
      <c r="K1174" s="5" t="s">
        <v>70</v>
      </c>
    </row>
    <row r="1175" spans="1:11" ht="18.75" customHeight="1" x14ac:dyDescent="0.3">
      <c r="A1175" s="30">
        <v>1193</v>
      </c>
      <c r="B1175" s="29"/>
      <c r="C1175" s="5" t="s">
        <v>14</v>
      </c>
      <c r="D1175" s="7">
        <v>295</v>
      </c>
      <c r="E1175" s="31">
        <v>24363</v>
      </c>
      <c r="F1175" s="29"/>
      <c r="G1175" s="32">
        <v>45566</v>
      </c>
      <c r="H1175" s="29"/>
      <c r="I1175" s="5" t="s">
        <v>84</v>
      </c>
      <c r="J1175" s="5" t="s">
        <v>85</v>
      </c>
      <c r="K1175" s="5" t="s">
        <v>70</v>
      </c>
    </row>
    <row r="1176" spans="1:11" ht="18.75" customHeight="1" x14ac:dyDescent="0.3">
      <c r="A1176" s="30">
        <v>1194</v>
      </c>
      <c r="B1176" s="29"/>
      <c r="C1176" s="5" t="s">
        <v>14</v>
      </c>
      <c r="D1176" s="7">
        <v>422</v>
      </c>
      <c r="E1176" s="31">
        <v>24375</v>
      </c>
      <c r="F1176" s="29"/>
      <c r="G1176" s="32">
        <v>45567</v>
      </c>
      <c r="H1176" s="29"/>
      <c r="I1176" s="5" t="s">
        <v>84</v>
      </c>
      <c r="J1176" s="5" t="s">
        <v>85</v>
      </c>
      <c r="K1176" s="5" t="s">
        <v>70</v>
      </c>
    </row>
    <row r="1177" spans="1:11" ht="18.75" customHeight="1" x14ac:dyDescent="0.3">
      <c r="A1177" s="30">
        <v>1195</v>
      </c>
      <c r="B1177" s="29"/>
      <c r="C1177" s="5" t="s">
        <v>14</v>
      </c>
      <c r="D1177" s="7">
        <v>219</v>
      </c>
      <c r="E1177" s="31">
        <v>24385</v>
      </c>
      <c r="F1177" s="29"/>
      <c r="G1177" s="32">
        <v>45568</v>
      </c>
      <c r="H1177" s="29"/>
      <c r="I1177" s="5" t="s">
        <v>84</v>
      </c>
      <c r="J1177" s="5" t="s">
        <v>85</v>
      </c>
      <c r="K1177" s="5" t="s">
        <v>70</v>
      </c>
    </row>
    <row r="1178" spans="1:11" ht="18.75" customHeight="1" x14ac:dyDescent="0.3">
      <c r="A1178" s="30">
        <v>1196</v>
      </c>
      <c r="B1178" s="29"/>
      <c r="C1178" s="5" t="s">
        <v>14</v>
      </c>
      <c r="D1178" s="7">
        <v>457</v>
      </c>
      <c r="E1178" s="31">
        <v>24395</v>
      </c>
      <c r="F1178" s="29"/>
      <c r="G1178" s="32">
        <v>45569</v>
      </c>
      <c r="H1178" s="29"/>
      <c r="I1178" s="5" t="s">
        <v>84</v>
      </c>
      <c r="J1178" s="5" t="s">
        <v>85</v>
      </c>
      <c r="K1178" s="5" t="s">
        <v>70</v>
      </c>
    </row>
    <row r="1179" spans="1:11" ht="18.75" customHeight="1" x14ac:dyDescent="0.3">
      <c r="A1179" s="30">
        <v>1197</v>
      </c>
      <c r="B1179" s="29"/>
      <c r="C1179" s="5" t="s">
        <v>14</v>
      </c>
      <c r="D1179" s="7">
        <v>277</v>
      </c>
      <c r="E1179" s="31">
        <v>24405</v>
      </c>
      <c r="F1179" s="29"/>
      <c r="G1179" s="32">
        <v>45570</v>
      </c>
      <c r="H1179" s="29"/>
      <c r="I1179" s="5" t="s">
        <v>84</v>
      </c>
      <c r="J1179" s="5" t="s">
        <v>85</v>
      </c>
      <c r="K1179" s="5" t="s">
        <v>70</v>
      </c>
    </row>
    <row r="1180" spans="1:11" ht="18.75" customHeight="1" x14ac:dyDescent="0.3">
      <c r="A1180" s="30">
        <v>1198</v>
      </c>
      <c r="B1180" s="29"/>
      <c r="C1180" s="5" t="s">
        <v>40</v>
      </c>
      <c r="D1180" s="7">
        <v>350</v>
      </c>
      <c r="E1180" s="31">
        <v>137394</v>
      </c>
      <c r="F1180" s="29"/>
      <c r="G1180" s="32">
        <v>45565</v>
      </c>
      <c r="H1180" s="29"/>
      <c r="I1180" s="5" t="s">
        <v>15</v>
      </c>
      <c r="J1180" s="5" t="s">
        <v>30</v>
      </c>
      <c r="K1180" s="5"/>
    </row>
    <row r="1181" spans="1:11" ht="18.75" customHeight="1" x14ac:dyDescent="0.3">
      <c r="A1181" s="30">
        <v>1199</v>
      </c>
      <c r="B1181" s="29"/>
      <c r="C1181" s="5" t="s">
        <v>40</v>
      </c>
      <c r="D1181" s="7">
        <v>520</v>
      </c>
      <c r="E1181" s="31">
        <v>136819</v>
      </c>
      <c r="F1181" s="29"/>
      <c r="G1181" s="32">
        <v>45565</v>
      </c>
      <c r="H1181" s="29"/>
      <c r="I1181" s="5" t="s">
        <v>15</v>
      </c>
      <c r="J1181" s="5" t="s">
        <v>30</v>
      </c>
      <c r="K1181" s="5"/>
    </row>
    <row r="1182" spans="1:11" ht="18.75" customHeight="1" x14ac:dyDescent="0.3">
      <c r="A1182" s="30">
        <v>1200</v>
      </c>
      <c r="B1182" s="29"/>
      <c r="C1182" s="5" t="s">
        <v>40</v>
      </c>
      <c r="D1182" s="7">
        <v>280</v>
      </c>
      <c r="E1182" s="31">
        <v>135642</v>
      </c>
      <c r="F1182" s="29"/>
      <c r="G1182" s="32">
        <v>45566</v>
      </c>
      <c r="H1182" s="29"/>
      <c r="I1182" s="5" t="s">
        <v>15</v>
      </c>
      <c r="J1182" s="5" t="s">
        <v>30</v>
      </c>
      <c r="K1182" s="5"/>
    </row>
    <row r="1183" spans="1:11" ht="18.75" customHeight="1" x14ac:dyDescent="0.3">
      <c r="A1183" s="30">
        <v>1201</v>
      </c>
      <c r="B1183" s="29"/>
      <c r="C1183" s="5" t="s">
        <v>40</v>
      </c>
      <c r="D1183" s="7">
        <v>500</v>
      </c>
      <c r="E1183" s="31">
        <v>136826</v>
      </c>
      <c r="F1183" s="29"/>
      <c r="G1183" s="32">
        <v>45567</v>
      </c>
      <c r="H1183" s="29"/>
      <c r="I1183" s="5" t="s">
        <v>15</v>
      </c>
      <c r="J1183" s="5" t="s">
        <v>30</v>
      </c>
      <c r="K1183" s="5"/>
    </row>
    <row r="1184" spans="1:11" ht="18.75" customHeight="1" x14ac:dyDescent="0.3">
      <c r="A1184" s="30">
        <v>1202</v>
      </c>
      <c r="B1184" s="29"/>
      <c r="C1184" s="5" t="s">
        <v>40</v>
      </c>
      <c r="D1184" s="7">
        <v>366</v>
      </c>
      <c r="E1184" s="31">
        <v>135646</v>
      </c>
      <c r="F1184" s="29"/>
      <c r="G1184" s="32">
        <v>45567</v>
      </c>
      <c r="H1184" s="29"/>
      <c r="I1184" s="5" t="s">
        <v>15</v>
      </c>
      <c r="J1184" s="5" t="s">
        <v>30</v>
      </c>
      <c r="K1184" s="5"/>
    </row>
    <row r="1185" spans="1:11" ht="18.75" customHeight="1" x14ac:dyDescent="0.3">
      <c r="A1185" s="30">
        <v>1203</v>
      </c>
      <c r="B1185" s="29"/>
      <c r="C1185" s="5" t="s">
        <v>40</v>
      </c>
      <c r="D1185" s="7">
        <v>424</v>
      </c>
      <c r="E1185" s="31">
        <v>136829</v>
      </c>
      <c r="F1185" s="29"/>
      <c r="G1185" s="32">
        <v>45568</v>
      </c>
      <c r="H1185" s="29"/>
      <c r="I1185" s="5" t="s">
        <v>15</v>
      </c>
      <c r="J1185" s="5" t="s">
        <v>30</v>
      </c>
      <c r="K1185" s="5"/>
    </row>
    <row r="1186" spans="1:11" ht="18.75" customHeight="1" x14ac:dyDescent="0.3">
      <c r="A1186" s="30">
        <v>1204</v>
      </c>
      <c r="B1186" s="29"/>
      <c r="C1186" s="5" t="s">
        <v>40</v>
      </c>
      <c r="D1186" s="7">
        <v>352</v>
      </c>
      <c r="E1186" s="31">
        <v>135745</v>
      </c>
      <c r="F1186" s="29"/>
      <c r="G1186" s="32">
        <v>45569</v>
      </c>
      <c r="H1186" s="29"/>
      <c r="I1186" s="5" t="s">
        <v>15</v>
      </c>
      <c r="J1186" s="5" t="s">
        <v>30</v>
      </c>
      <c r="K1186" s="5"/>
    </row>
    <row r="1187" spans="1:11" ht="18.75" customHeight="1" x14ac:dyDescent="0.3">
      <c r="A1187" s="30">
        <v>1205</v>
      </c>
      <c r="B1187" s="29"/>
      <c r="C1187" s="5" t="s">
        <v>40</v>
      </c>
      <c r="D1187" s="7">
        <v>488</v>
      </c>
      <c r="E1187" s="31">
        <v>136817</v>
      </c>
      <c r="F1187" s="29"/>
      <c r="G1187" s="32">
        <v>45565</v>
      </c>
      <c r="H1187" s="29"/>
      <c r="I1187" s="5" t="s">
        <v>28</v>
      </c>
      <c r="J1187" s="5" t="s">
        <v>80</v>
      </c>
      <c r="K1187" s="5"/>
    </row>
    <row r="1188" spans="1:11" ht="18.75" customHeight="1" x14ac:dyDescent="0.3">
      <c r="A1188" s="30">
        <v>1206</v>
      </c>
      <c r="B1188" s="29"/>
      <c r="C1188" s="5" t="s">
        <v>40</v>
      </c>
      <c r="D1188" s="7">
        <v>390</v>
      </c>
      <c r="E1188" s="31">
        <v>135732</v>
      </c>
      <c r="F1188" s="29"/>
      <c r="G1188" s="32">
        <v>45565</v>
      </c>
      <c r="H1188" s="29"/>
      <c r="I1188" s="5" t="s">
        <v>28</v>
      </c>
      <c r="J1188" s="5" t="s">
        <v>80</v>
      </c>
      <c r="K1188" s="5"/>
    </row>
    <row r="1189" spans="1:11" ht="18.75" customHeight="1" x14ac:dyDescent="0.3">
      <c r="A1189" s="30">
        <v>1207</v>
      </c>
      <c r="B1189" s="29"/>
      <c r="C1189" s="5" t="s">
        <v>40</v>
      </c>
      <c r="D1189" s="7">
        <v>700</v>
      </c>
      <c r="E1189" s="31">
        <v>136821</v>
      </c>
      <c r="F1189" s="29"/>
      <c r="G1189" s="32">
        <v>45566</v>
      </c>
      <c r="H1189" s="29"/>
      <c r="I1189" s="5" t="s">
        <v>28</v>
      </c>
      <c r="J1189" s="5" t="s">
        <v>80</v>
      </c>
      <c r="K1189" s="5"/>
    </row>
    <row r="1190" spans="1:11" ht="18.75" customHeight="1" x14ac:dyDescent="0.3">
      <c r="A1190" s="30">
        <v>1208</v>
      </c>
      <c r="B1190" s="29"/>
      <c r="C1190" s="5" t="s">
        <v>40</v>
      </c>
      <c r="D1190" s="7">
        <v>371</v>
      </c>
      <c r="E1190" s="31">
        <v>137103</v>
      </c>
      <c r="F1190" s="29"/>
      <c r="G1190" s="32">
        <v>45566</v>
      </c>
      <c r="H1190" s="29"/>
      <c r="I1190" s="5" t="s">
        <v>28</v>
      </c>
      <c r="J1190" s="5" t="s">
        <v>80</v>
      </c>
      <c r="K1190" s="5"/>
    </row>
    <row r="1191" spans="1:11" ht="18.75" customHeight="1" x14ac:dyDescent="0.3">
      <c r="A1191" s="30">
        <v>1209</v>
      </c>
      <c r="B1191" s="29"/>
      <c r="C1191" s="5" t="s">
        <v>40</v>
      </c>
      <c r="D1191" s="7">
        <v>400</v>
      </c>
      <c r="E1191" s="31">
        <v>136822</v>
      </c>
      <c r="F1191" s="29"/>
      <c r="G1191" s="32">
        <v>45567</v>
      </c>
      <c r="H1191" s="29"/>
      <c r="I1191" s="5" t="s">
        <v>28</v>
      </c>
      <c r="J1191" s="5" t="s">
        <v>80</v>
      </c>
      <c r="K1191" s="5"/>
    </row>
    <row r="1192" spans="1:11" ht="18.75" customHeight="1" x14ac:dyDescent="0.3">
      <c r="A1192" s="30">
        <v>1210</v>
      </c>
      <c r="B1192" s="29"/>
      <c r="C1192" s="5" t="s">
        <v>40</v>
      </c>
      <c r="D1192" s="7">
        <v>580</v>
      </c>
      <c r="E1192" s="31">
        <v>135648</v>
      </c>
      <c r="F1192" s="29"/>
      <c r="G1192" s="32">
        <v>45568</v>
      </c>
      <c r="H1192" s="29"/>
      <c r="I1192" s="5" t="s">
        <v>28</v>
      </c>
      <c r="J1192" s="5" t="s">
        <v>80</v>
      </c>
      <c r="K1192" s="5"/>
    </row>
    <row r="1193" spans="1:11" ht="18.75" customHeight="1" x14ac:dyDescent="0.3">
      <c r="A1193" s="30">
        <v>1211</v>
      </c>
      <c r="B1193" s="29"/>
      <c r="C1193" s="5" t="s">
        <v>40</v>
      </c>
      <c r="D1193" s="7">
        <v>481</v>
      </c>
      <c r="E1193" s="31">
        <v>136831</v>
      </c>
      <c r="F1193" s="29"/>
      <c r="G1193" s="32">
        <v>45568</v>
      </c>
      <c r="H1193" s="29"/>
      <c r="I1193" s="5" t="s">
        <v>28</v>
      </c>
      <c r="J1193" s="5" t="s">
        <v>80</v>
      </c>
      <c r="K1193" s="5"/>
    </row>
    <row r="1194" spans="1:11" ht="18.75" customHeight="1" x14ac:dyDescent="0.3">
      <c r="A1194" s="30">
        <v>1212</v>
      </c>
      <c r="B1194" s="29"/>
      <c r="C1194" s="5" t="s">
        <v>40</v>
      </c>
      <c r="D1194" s="7">
        <v>683</v>
      </c>
      <c r="E1194" s="31">
        <v>137109</v>
      </c>
      <c r="F1194" s="29"/>
      <c r="G1194" s="32">
        <v>45569</v>
      </c>
      <c r="H1194" s="29"/>
      <c r="I1194" s="5" t="s">
        <v>28</v>
      </c>
      <c r="J1194" s="5" t="s">
        <v>80</v>
      </c>
      <c r="K1194" s="5"/>
    </row>
    <row r="1195" spans="1:11" ht="18.75" customHeight="1" x14ac:dyDescent="0.3">
      <c r="A1195" s="30">
        <v>1213</v>
      </c>
      <c r="B1195" s="29"/>
      <c r="C1195" s="5" t="s">
        <v>40</v>
      </c>
      <c r="D1195" s="7">
        <v>499</v>
      </c>
      <c r="E1195" s="31">
        <v>136156</v>
      </c>
      <c r="F1195" s="29"/>
      <c r="G1195" s="32">
        <v>45570</v>
      </c>
      <c r="H1195" s="29"/>
      <c r="I1195" s="5" t="s">
        <v>28</v>
      </c>
      <c r="J1195" s="5" t="s">
        <v>80</v>
      </c>
      <c r="K1195" s="5"/>
    </row>
    <row r="1196" spans="1:11" ht="18.75" customHeight="1" x14ac:dyDescent="0.3">
      <c r="A1196" s="30">
        <v>1214</v>
      </c>
      <c r="B1196" s="29"/>
      <c r="C1196" s="5" t="s">
        <v>40</v>
      </c>
      <c r="D1196" s="7">
        <v>520</v>
      </c>
      <c r="E1196" s="31">
        <v>130472</v>
      </c>
      <c r="F1196" s="29"/>
      <c r="G1196" s="32">
        <v>45570</v>
      </c>
      <c r="H1196" s="29"/>
      <c r="I1196" s="5" t="s">
        <v>28</v>
      </c>
      <c r="J1196" s="5" t="s">
        <v>80</v>
      </c>
      <c r="K1196" s="5"/>
    </row>
    <row r="1197" spans="1:11" ht="18.75" customHeight="1" x14ac:dyDescent="0.3">
      <c r="A1197" s="30">
        <v>1215</v>
      </c>
      <c r="B1197" s="29"/>
      <c r="C1197" s="5" t="s">
        <v>40</v>
      </c>
      <c r="D1197" s="7">
        <v>461</v>
      </c>
      <c r="E1197" s="31">
        <v>137120</v>
      </c>
      <c r="F1197" s="29"/>
      <c r="G1197" s="32">
        <v>45570</v>
      </c>
      <c r="H1197" s="29"/>
      <c r="I1197" s="5" t="s">
        <v>28</v>
      </c>
      <c r="J1197" s="5" t="s">
        <v>80</v>
      </c>
      <c r="K1197" s="5"/>
    </row>
    <row r="1198" spans="1:11" ht="18.75" customHeight="1" x14ac:dyDescent="0.3">
      <c r="A1198" s="30">
        <v>1216</v>
      </c>
      <c r="B1198" s="29"/>
      <c r="C1198" s="5" t="s">
        <v>14</v>
      </c>
      <c r="D1198" s="7">
        <v>312</v>
      </c>
      <c r="E1198" s="31">
        <v>24423</v>
      </c>
      <c r="F1198" s="29"/>
      <c r="G1198" s="32">
        <v>45572</v>
      </c>
      <c r="H1198" s="29"/>
      <c r="I1198" s="5" t="s">
        <v>84</v>
      </c>
      <c r="J1198" s="5" t="s">
        <v>85</v>
      </c>
      <c r="K1198" s="5" t="s">
        <v>70</v>
      </c>
    </row>
    <row r="1199" spans="1:11" ht="18.75" customHeight="1" x14ac:dyDescent="0.3">
      <c r="A1199" s="30">
        <v>1217</v>
      </c>
      <c r="B1199" s="29"/>
      <c r="C1199" s="5" t="s">
        <v>14</v>
      </c>
      <c r="D1199" s="7">
        <v>287</v>
      </c>
      <c r="E1199" s="31">
        <v>24440</v>
      </c>
      <c r="F1199" s="29"/>
      <c r="G1199" s="32">
        <v>45573</v>
      </c>
      <c r="H1199" s="29"/>
      <c r="I1199" s="5" t="s">
        <v>84</v>
      </c>
      <c r="J1199" s="5" t="s">
        <v>85</v>
      </c>
      <c r="K1199" s="5" t="s">
        <v>70</v>
      </c>
    </row>
    <row r="1200" spans="1:11" ht="18.75" customHeight="1" x14ac:dyDescent="0.3">
      <c r="A1200" s="30">
        <v>1218</v>
      </c>
      <c r="B1200" s="29"/>
      <c r="C1200" s="5" t="s">
        <v>14</v>
      </c>
      <c r="D1200" s="7">
        <v>256</v>
      </c>
      <c r="E1200" s="31">
        <v>24446</v>
      </c>
      <c r="F1200" s="29"/>
      <c r="G1200" s="32">
        <v>45574</v>
      </c>
      <c r="H1200" s="29"/>
      <c r="I1200" s="5" t="s">
        <v>84</v>
      </c>
      <c r="J1200" s="5" t="s">
        <v>85</v>
      </c>
      <c r="K1200" s="5" t="s">
        <v>70</v>
      </c>
    </row>
    <row r="1201" spans="1:11" ht="18.75" customHeight="1" x14ac:dyDescent="0.3">
      <c r="A1201" s="30">
        <v>1219</v>
      </c>
      <c r="B1201" s="29"/>
      <c r="C1201" s="5" t="s">
        <v>14</v>
      </c>
      <c r="D1201" s="7">
        <v>187</v>
      </c>
      <c r="E1201" s="31">
        <v>24456</v>
      </c>
      <c r="F1201" s="29"/>
      <c r="G1201" s="32">
        <v>45575</v>
      </c>
      <c r="H1201" s="29"/>
      <c r="I1201" s="5" t="s">
        <v>84</v>
      </c>
      <c r="J1201" s="5" t="s">
        <v>85</v>
      </c>
      <c r="K1201" s="5" t="s">
        <v>70</v>
      </c>
    </row>
    <row r="1202" spans="1:11" ht="18.75" customHeight="1" x14ac:dyDescent="0.3">
      <c r="A1202" s="30">
        <v>1220</v>
      </c>
      <c r="B1202" s="29"/>
      <c r="C1202" s="5" t="s">
        <v>14</v>
      </c>
      <c r="D1202" s="7">
        <v>284</v>
      </c>
      <c r="E1202" s="31">
        <v>24466</v>
      </c>
      <c r="F1202" s="29"/>
      <c r="G1202" s="32">
        <v>45576</v>
      </c>
      <c r="H1202" s="29"/>
      <c r="I1202" s="5" t="s">
        <v>84</v>
      </c>
      <c r="J1202" s="5" t="s">
        <v>85</v>
      </c>
      <c r="K1202" s="5" t="s">
        <v>70</v>
      </c>
    </row>
    <row r="1203" spans="1:11" ht="18.75" customHeight="1" x14ac:dyDescent="0.3">
      <c r="A1203" s="30">
        <v>1221</v>
      </c>
      <c r="B1203" s="29"/>
      <c r="C1203" s="5" t="s">
        <v>14</v>
      </c>
      <c r="D1203" s="7">
        <v>235</v>
      </c>
      <c r="E1203" s="31">
        <v>24481</v>
      </c>
      <c r="F1203" s="29"/>
      <c r="G1203" s="32">
        <v>45577</v>
      </c>
      <c r="H1203" s="29"/>
      <c r="I1203" s="5" t="s">
        <v>84</v>
      </c>
      <c r="J1203" s="5" t="s">
        <v>85</v>
      </c>
      <c r="K1203" s="5" t="s">
        <v>70</v>
      </c>
    </row>
    <row r="1204" spans="1:11" ht="18.75" customHeight="1" x14ac:dyDescent="0.3">
      <c r="A1204" s="30">
        <v>1222</v>
      </c>
      <c r="B1204" s="29"/>
      <c r="C1204" s="5" t="s">
        <v>40</v>
      </c>
      <c r="D1204" s="7">
        <v>455</v>
      </c>
      <c r="E1204" s="31">
        <v>137126</v>
      </c>
      <c r="F1204" s="29"/>
      <c r="G1204" s="32">
        <v>45572</v>
      </c>
      <c r="H1204" s="29"/>
      <c r="I1204" s="5" t="s">
        <v>15</v>
      </c>
      <c r="J1204" s="5" t="s">
        <v>30</v>
      </c>
      <c r="K1204" s="5"/>
    </row>
    <row r="1205" spans="1:11" ht="18.75" customHeight="1" x14ac:dyDescent="0.3">
      <c r="A1205" s="30">
        <v>1223</v>
      </c>
      <c r="B1205" s="29"/>
      <c r="C1205" s="5" t="s">
        <v>40</v>
      </c>
      <c r="D1205" s="7">
        <v>450</v>
      </c>
      <c r="E1205" s="31">
        <v>136835</v>
      </c>
      <c r="F1205" s="29"/>
      <c r="G1205" s="32">
        <v>45572</v>
      </c>
      <c r="H1205" s="29"/>
      <c r="I1205" s="5" t="s">
        <v>15</v>
      </c>
      <c r="J1205" s="5" t="s">
        <v>30</v>
      </c>
      <c r="K1205" s="5"/>
    </row>
    <row r="1206" spans="1:11" ht="18.75" customHeight="1" x14ac:dyDescent="0.3">
      <c r="A1206" s="30">
        <v>1224</v>
      </c>
      <c r="B1206" s="29"/>
      <c r="C1206" s="5" t="s">
        <v>40</v>
      </c>
      <c r="D1206" s="7">
        <v>660</v>
      </c>
      <c r="E1206" s="31">
        <v>136845</v>
      </c>
      <c r="F1206" s="29"/>
      <c r="G1206" s="32">
        <v>45573</v>
      </c>
      <c r="H1206" s="29"/>
      <c r="I1206" s="5" t="s">
        <v>15</v>
      </c>
      <c r="J1206" s="5" t="s">
        <v>30</v>
      </c>
      <c r="K1206" s="5"/>
    </row>
    <row r="1207" spans="1:11" ht="18.75" customHeight="1" x14ac:dyDescent="0.3">
      <c r="A1207" s="30">
        <v>1225</v>
      </c>
      <c r="B1207" s="29"/>
      <c r="C1207" s="5" t="s">
        <v>40</v>
      </c>
      <c r="D1207" s="7">
        <v>401</v>
      </c>
      <c r="E1207" s="31">
        <v>136163</v>
      </c>
      <c r="F1207" s="29"/>
      <c r="G1207" s="32">
        <v>45573</v>
      </c>
      <c r="H1207" s="29"/>
      <c r="I1207" s="5" t="s">
        <v>15</v>
      </c>
      <c r="J1207" s="5" t="s">
        <v>30</v>
      </c>
      <c r="K1207" s="5"/>
    </row>
    <row r="1208" spans="1:11" ht="18.75" customHeight="1" x14ac:dyDescent="0.3">
      <c r="A1208" s="30">
        <v>1226</v>
      </c>
      <c r="B1208" s="29"/>
      <c r="C1208" s="5" t="s">
        <v>40</v>
      </c>
      <c r="D1208" s="7">
        <v>498</v>
      </c>
      <c r="E1208" s="31">
        <v>136848</v>
      </c>
      <c r="F1208" s="29"/>
      <c r="G1208" s="32">
        <v>45574</v>
      </c>
      <c r="H1208" s="29"/>
      <c r="I1208" s="5" t="s">
        <v>15</v>
      </c>
      <c r="J1208" s="5" t="s">
        <v>30</v>
      </c>
      <c r="K1208" s="5"/>
    </row>
    <row r="1209" spans="1:11" ht="18.75" customHeight="1" x14ac:dyDescent="0.3">
      <c r="A1209" s="30">
        <v>1227</v>
      </c>
      <c r="B1209" s="29"/>
      <c r="C1209" s="5" t="s">
        <v>40</v>
      </c>
      <c r="D1209" s="7">
        <v>465</v>
      </c>
      <c r="E1209" s="31">
        <v>136303</v>
      </c>
      <c r="F1209" s="29"/>
      <c r="G1209" s="32">
        <v>45575</v>
      </c>
      <c r="H1209" s="29"/>
      <c r="I1209" s="5" t="s">
        <v>15</v>
      </c>
      <c r="J1209" s="5" t="s">
        <v>30</v>
      </c>
      <c r="K1209" s="5"/>
    </row>
    <row r="1210" spans="1:11" ht="18.75" customHeight="1" x14ac:dyDescent="0.3">
      <c r="A1210" s="30">
        <v>1228</v>
      </c>
      <c r="B1210" s="29"/>
      <c r="C1210" s="5" t="s">
        <v>40</v>
      </c>
      <c r="D1210" s="7">
        <v>517</v>
      </c>
      <c r="E1210" s="31">
        <v>136307</v>
      </c>
      <c r="F1210" s="29"/>
      <c r="G1210" s="32">
        <v>45575</v>
      </c>
      <c r="H1210" s="29"/>
      <c r="I1210" s="5" t="s">
        <v>15</v>
      </c>
      <c r="J1210" s="5" t="s">
        <v>30</v>
      </c>
      <c r="K1210" s="5"/>
    </row>
    <row r="1211" spans="1:11" ht="18.75" customHeight="1" x14ac:dyDescent="0.3">
      <c r="A1211" s="30">
        <v>1229</v>
      </c>
      <c r="B1211" s="29"/>
      <c r="C1211" s="5" t="s">
        <v>40</v>
      </c>
      <c r="D1211" s="7">
        <v>400</v>
      </c>
      <c r="E1211" s="31">
        <v>136310</v>
      </c>
      <c r="F1211" s="29"/>
      <c r="G1211" s="32">
        <v>45576</v>
      </c>
      <c r="H1211" s="29"/>
      <c r="I1211" s="5" t="s">
        <v>15</v>
      </c>
      <c r="J1211" s="5" t="s">
        <v>30</v>
      </c>
      <c r="K1211" s="5"/>
    </row>
    <row r="1212" spans="1:11" ht="18.75" customHeight="1" x14ac:dyDescent="0.3">
      <c r="A1212" s="30">
        <v>1230</v>
      </c>
      <c r="B1212" s="29"/>
      <c r="C1212" s="5" t="s">
        <v>40</v>
      </c>
      <c r="D1212" s="7">
        <v>650</v>
      </c>
      <c r="E1212" s="31">
        <v>136315</v>
      </c>
      <c r="F1212" s="29"/>
      <c r="G1212" s="32">
        <v>45577</v>
      </c>
      <c r="H1212" s="29"/>
      <c r="I1212" s="5" t="s">
        <v>15</v>
      </c>
      <c r="J1212" s="5" t="s">
        <v>30</v>
      </c>
      <c r="K1212" s="5"/>
    </row>
    <row r="1213" spans="1:11" ht="18.75" customHeight="1" x14ac:dyDescent="0.3">
      <c r="A1213" s="30">
        <v>1231</v>
      </c>
      <c r="B1213" s="29"/>
      <c r="C1213" s="5" t="s">
        <v>40</v>
      </c>
      <c r="D1213" s="7">
        <v>520</v>
      </c>
      <c r="E1213" s="31">
        <v>136836</v>
      </c>
      <c r="F1213" s="29"/>
      <c r="G1213" s="32">
        <v>45572</v>
      </c>
      <c r="H1213" s="29"/>
      <c r="I1213" s="5" t="s">
        <v>28</v>
      </c>
      <c r="J1213" s="5" t="s">
        <v>66</v>
      </c>
      <c r="K1213" s="5"/>
    </row>
    <row r="1214" spans="1:11" ht="18.75" customHeight="1" x14ac:dyDescent="0.3">
      <c r="A1214" s="30">
        <v>1232</v>
      </c>
      <c r="B1214" s="29"/>
      <c r="C1214" s="5" t="s">
        <v>40</v>
      </c>
      <c r="D1214" s="7">
        <v>660</v>
      </c>
      <c r="E1214" s="31">
        <v>136839</v>
      </c>
      <c r="F1214" s="29"/>
      <c r="G1214" s="32">
        <v>45572</v>
      </c>
      <c r="H1214" s="29"/>
      <c r="I1214" s="5" t="s">
        <v>28</v>
      </c>
      <c r="J1214" s="5" t="s">
        <v>66</v>
      </c>
      <c r="K1214" s="5"/>
    </row>
    <row r="1215" spans="1:11" ht="18.75" customHeight="1" x14ac:dyDescent="0.3">
      <c r="A1215" s="30">
        <v>1233</v>
      </c>
      <c r="B1215" s="29"/>
      <c r="C1215" s="5" t="s">
        <v>40</v>
      </c>
      <c r="D1215" s="7">
        <v>450</v>
      </c>
      <c r="E1215" s="31">
        <v>136847</v>
      </c>
      <c r="F1215" s="29"/>
      <c r="G1215" s="32">
        <v>45573</v>
      </c>
      <c r="H1215" s="29"/>
      <c r="I1215" s="5" t="s">
        <v>28</v>
      </c>
      <c r="J1215" s="5" t="s">
        <v>66</v>
      </c>
      <c r="K1215" s="5"/>
    </row>
    <row r="1216" spans="1:11" ht="18.75" customHeight="1" x14ac:dyDescent="0.3">
      <c r="A1216" s="30">
        <v>1234</v>
      </c>
      <c r="B1216" s="29"/>
      <c r="C1216" s="5" t="s">
        <v>40</v>
      </c>
      <c r="D1216" s="7">
        <v>520</v>
      </c>
      <c r="E1216" s="31">
        <v>136843</v>
      </c>
      <c r="F1216" s="29"/>
      <c r="G1216" s="32">
        <v>45573</v>
      </c>
      <c r="H1216" s="29"/>
      <c r="I1216" s="5" t="s">
        <v>28</v>
      </c>
      <c r="J1216" s="5" t="s">
        <v>66</v>
      </c>
      <c r="K1216" s="5"/>
    </row>
    <row r="1217" spans="1:11" ht="18.75" customHeight="1" x14ac:dyDescent="0.3">
      <c r="A1217" s="30">
        <v>1235</v>
      </c>
      <c r="B1217" s="29"/>
      <c r="C1217" s="5" t="s">
        <v>40</v>
      </c>
      <c r="D1217" s="7">
        <v>638</v>
      </c>
      <c r="E1217" s="31">
        <v>136167</v>
      </c>
      <c r="F1217" s="29"/>
      <c r="G1217" s="32">
        <v>45574</v>
      </c>
      <c r="H1217" s="29"/>
      <c r="I1217" s="5" t="s">
        <v>28</v>
      </c>
      <c r="J1217" s="5" t="s">
        <v>66</v>
      </c>
      <c r="K1217" s="5"/>
    </row>
    <row r="1218" spans="1:11" ht="18.75" customHeight="1" x14ac:dyDescent="0.3">
      <c r="A1218" s="30">
        <v>1236</v>
      </c>
      <c r="B1218" s="29"/>
      <c r="C1218" s="5" t="s">
        <v>40</v>
      </c>
      <c r="D1218" s="7">
        <v>520</v>
      </c>
      <c r="E1218" s="31">
        <v>136305</v>
      </c>
      <c r="F1218" s="29"/>
      <c r="G1218" s="32">
        <v>45575</v>
      </c>
      <c r="H1218" s="29"/>
      <c r="I1218" s="5" t="s">
        <v>28</v>
      </c>
      <c r="J1218" s="5" t="s">
        <v>66</v>
      </c>
      <c r="K1218" s="5"/>
    </row>
    <row r="1219" spans="1:11" ht="18.75" customHeight="1" x14ac:dyDescent="0.3">
      <c r="A1219" s="30">
        <v>1237</v>
      </c>
      <c r="B1219" s="29"/>
      <c r="C1219" s="5" t="s">
        <v>40</v>
      </c>
      <c r="D1219" s="7">
        <v>450</v>
      </c>
      <c r="E1219" s="31">
        <v>136312</v>
      </c>
      <c r="F1219" s="29"/>
      <c r="G1219" s="32">
        <v>45576</v>
      </c>
      <c r="H1219" s="29"/>
      <c r="I1219" s="5" t="s">
        <v>28</v>
      </c>
      <c r="J1219" s="5" t="s">
        <v>66</v>
      </c>
      <c r="K1219" s="5"/>
    </row>
    <row r="1220" spans="1:11" ht="18.75" customHeight="1" x14ac:dyDescent="0.3">
      <c r="A1220" s="30">
        <v>1238</v>
      </c>
      <c r="B1220" s="29"/>
      <c r="C1220" s="5" t="s">
        <v>40</v>
      </c>
      <c r="D1220" s="7">
        <v>400</v>
      </c>
      <c r="E1220" s="31">
        <v>136175</v>
      </c>
      <c r="F1220" s="29"/>
      <c r="G1220" s="32">
        <v>45576</v>
      </c>
      <c r="H1220" s="29"/>
      <c r="I1220" s="5" t="s">
        <v>28</v>
      </c>
      <c r="J1220" s="5" t="s">
        <v>66</v>
      </c>
      <c r="K1220" s="5"/>
    </row>
    <row r="1221" spans="1:11" ht="18.75" customHeight="1" x14ac:dyDescent="0.3">
      <c r="A1221" s="30">
        <v>1239</v>
      </c>
      <c r="B1221" s="29"/>
      <c r="C1221" s="5" t="s">
        <v>40</v>
      </c>
      <c r="D1221" s="7">
        <v>361</v>
      </c>
      <c r="E1221" s="31">
        <v>141262</v>
      </c>
      <c r="F1221" s="29"/>
      <c r="G1221" s="32">
        <v>45577</v>
      </c>
      <c r="H1221" s="29"/>
      <c r="I1221" s="5" t="s">
        <v>28</v>
      </c>
      <c r="J1221" s="5" t="s">
        <v>66</v>
      </c>
      <c r="K1221" s="5"/>
    </row>
    <row r="1222" spans="1:11" ht="18.75" customHeight="1" x14ac:dyDescent="0.3">
      <c r="A1222" s="30">
        <v>1240</v>
      </c>
      <c r="B1222" s="29"/>
      <c r="C1222" s="5" t="s">
        <v>14</v>
      </c>
      <c r="D1222" s="7">
        <v>442</v>
      </c>
      <c r="E1222" s="31">
        <v>24500</v>
      </c>
      <c r="F1222" s="29"/>
      <c r="G1222" s="32">
        <v>45579</v>
      </c>
      <c r="H1222" s="29"/>
      <c r="I1222" s="5" t="s">
        <v>84</v>
      </c>
      <c r="J1222" s="5" t="s">
        <v>85</v>
      </c>
      <c r="K1222" s="5" t="s">
        <v>70</v>
      </c>
    </row>
    <row r="1223" spans="1:11" ht="18.75" customHeight="1" x14ac:dyDescent="0.3">
      <c r="A1223" s="30">
        <v>1241</v>
      </c>
      <c r="B1223" s="29"/>
      <c r="C1223" s="5" t="s">
        <v>14</v>
      </c>
      <c r="D1223" s="7">
        <v>347</v>
      </c>
      <c r="E1223" s="31">
        <v>24557</v>
      </c>
      <c r="F1223" s="29"/>
      <c r="G1223" s="32">
        <v>45580</v>
      </c>
      <c r="H1223" s="29"/>
      <c r="I1223" s="5" t="s">
        <v>84</v>
      </c>
      <c r="J1223" s="5" t="s">
        <v>85</v>
      </c>
      <c r="K1223" s="5" t="s">
        <v>70</v>
      </c>
    </row>
    <row r="1224" spans="1:11" ht="18.75" customHeight="1" x14ac:dyDescent="0.3">
      <c r="A1224" s="30">
        <v>1242</v>
      </c>
      <c r="B1224" s="29"/>
      <c r="C1224" s="5" t="s">
        <v>14</v>
      </c>
      <c r="D1224" s="7">
        <v>415</v>
      </c>
      <c r="E1224" s="31">
        <v>24565</v>
      </c>
      <c r="F1224" s="29"/>
      <c r="G1224" s="32">
        <v>45581</v>
      </c>
      <c r="H1224" s="29"/>
      <c r="I1224" s="5" t="s">
        <v>84</v>
      </c>
      <c r="J1224" s="5" t="s">
        <v>85</v>
      </c>
      <c r="K1224" s="5" t="s">
        <v>70</v>
      </c>
    </row>
    <row r="1225" spans="1:11" ht="18.75" customHeight="1" x14ac:dyDescent="0.3">
      <c r="A1225" s="30">
        <v>1243</v>
      </c>
      <c r="B1225" s="29"/>
      <c r="C1225" s="5" t="s">
        <v>14</v>
      </c>
      <c r="D1225" s="7">
        <v>307</v>
      </c>
      <c r="E1225" s="31">
        <v>24578</v>
      </c>
      <c r="F1225" s="29"/>
      <c r="G1225" s="32">
        <v>45582</v>
      </c>
      <c r="H1225" s="29"/>
      <c r="I1225" s="5" t="s">
        <v>84</v>
      </c>
      <c r="J1225" s="5" t="s">
        <v>85</v>
      </c>
      <c r="K1225" s="5" t="s">
        <v>70</v>
      </c>
    </row>
    <row r="1226" spans="1:11" ht="18.75" customHeight="1" x14ac:dyDescent="0.3">
      <c r="A1226" s="30">
        <v>1244</v>
      </c>
      <c r="B1226" s="29"/>
      <c r="C1226" s="5" t="s">
        <v>14</v>
      </c>
      <c r="D1226" s="7">
        <v>263</v>
      </c>
      <c r="E1226" s="31">
        <v>24606</v>
      </c>
      <c r="F1226" s="29"/>
      <c r="G1226" s="32">
        <v>45583</v>
      </c>
      <c r="H1226" s="29"/>
      <c r="I1226" s="5" t="s">
        <v>84</v>
      </c>
      <c r="J1226" s="5" t="s">
        <v>85</v>
      </c>
      <c r="K1226" s="5" t="s">
        <v>70</v>
      </c>
    </row>
    <row r="1227" spans="1:11" ht="18.75" customHeight="1" x14ac:dyDescent="0.3">
      <c r="A1227" s="30">
        <v>1245</v>
      </c>
      <c r="B1227" s="29"/>
      <c r="C1227" s="5" t="s">
        <v>14</v>
      </c>
      <c r="D1227" s="7">
        <v>244</v>
      </c>
      <c r="E1227" s="31">
        <v>24616</v>
      </c>
      <c r="F1227" s="29"/>
      <c r="G1227" s="32">
        <v>45584</v>
      </c>
      <c r="H1227" s="29"/>
      <c r="I1227" s="5" t="s">
        <v>84</v>
      </c>
      <c r="J1227" s="5" t="s">
        <v>85</v>
      </c>
      <c r="K1227" s="5" t="s">
        <v>70</v>
      </c>
    </row>
    <row r="1228" spans="1:11" ht="18.75" customHeight="1" x14ac:dyDescent="0.3">
      <c r="A1228" s="30">
        <v>1246</v>
      </c>
      <c r="B1228" s="29"/>
      <c r="C1228" s="5" t="s">
        <v>40</v>
      </c>
      <c r="D1228" s="7">
        <v>460</v>
      </c>
      <c r="E1228" s="31">
        <v>136316</v>
      </c>
      <c r="F1228" s="29"/>
      <c r="G1228" s="32">
        <v>45579</v>
      </c>
      <c r="H1228" s="29"/>
      <c r="I1228" s="5" t="s">
        <v>15</v>
      </c>
      <c r="J1228" s="5" t="s">
        <v>30</v>
      </c>
      <c r="K1228" s="5"/>
    </row>
    <row r="1229" spans="1:11" ht="18.75" customHeight="1" x14ac:dyDescent="0.3">
      <c r="A1229" s="30">
        <v>1247</v>
      </c>
      <c r="B1229" s="29"/>
      <c r="C1229" s="5" t="s">
        <v>40</v>
      </c>
      <c r="D1229" s="7">
        <v>405</v>
      </c>
      <c r="E1229" s="31">
        <v>136319</v>
      </c>
      <c r="F1229" s="29"/>
      <c r="G1229" s="32">
        <v>45579</v>
      </c>
      <c r="H1229" s="29"/>
      <c r="I1229" s="5" t="s">
        <v>15</v>
      </c>
      <c r="J1229" s="5" t="s">
        <v>30</v>
      </c>
      <c r="K1229" s="5"/>
    </row>
    <row r="1230" spans="1:11" ht="18.75" customHeight="1" x14ac:dyDescent="0.3">
      <c r="A1230" s="30">
        <v>1248</v>
      </c>
      <c r="B1230" s="29"/>
      <c r="C1230" s="5" t="s">
        <v>40</v>
      </c>
      <c r="D1230" s="7">
        <v>392</v>
      </c>
      <c r="E1230" s="31">
        <v>137151</v>
      </c>
      <c r="F1230" s="29"/>
      <c r="G1230" s="32">
        <v>45580</v>
      </c>
      <c r="H1230" s="29"/>
      <c r="I1230" s="5" t="s">
        <v>15</v>
      </c>
      <c r="J1230" s="5" t="s">
        <v>30</v>
      </c>
      <c r="K1230" s="5"/>
    </row>
    <row r="1231" spans="1:11" ht="18.75" customHeight="1" x14ac:dyDescent="0.3">
      <c r="A1231" s="30">
        <v>1249</v>
      </c>
      <c r="B1231" s="29"/>
      <c r="C1231" s="5" t="s">
        <v>40</v>
      </c>
      <c r="D1231" s="7">
        <v>400</v>
      </c>
      <c r="E1231" s="31">
        <v>136184</v>
      </c>
      <c r="F1231" s="29"/>
      <c r="G1231" s="32">
        <v>45580</v>
      </c>
      <c r="H1231" s="29"/>
      <c r="I1231" s="5" t="s">
        <v>15</v>
      </c>
      <c r="J1231" s="5" t="s">
        <v>30</v>
      </c>
      <c r="K1231" s="5"/>
    </row>
    <row r="1232" spans="1:11" ht="18.75" customHeight="1" x14ac:dyDescent="0.3">
      <c r="A1232" s="30">
        <v>1250</v>
      </c>
      <c r="B1232" s="29"/>
      <c r="C1232" s="5" t="s">
        <v>40</v>
      </c>
      <c r="D1232" s="7">
        <v>638</v>
      </c>
      <c r="E1232" s="31">
        <v>136324</v>
      </c>
      <c r="F1232" s="29"/>
      <c r="G1232" s="32">
        <v>45581</v>
      </c>
      <c r="H1232" s="29"/>
      <c r="I1232" s="5" t="s">
        <v>15</v>
      </c>
      <c r="J1232" s="5" t="s">
        <v>30</v>
      </c>
      <c r="K1232" s="5"/>
    </row>
    <row r="1233" spans="1:11" ht="18.75" customHeight="1" x14ac:dyDescent="0.3">
      <c r="A1233" s="30">
        <v>1251</v>
      </c>
      <c r="B1233" s="29"/>
      <c r="C1233" s="5" t="s">
        <v>40</v>
      </c>
      <c r="D1233" s="7">
        <v>405</v>
      </c>
      <c r="E1233" s="31">
        <v>136327</v>
      </c>
      <c r="F1233" s="29"/>
      <c r="G1233" s="32">
        <v>45581</v>
      </c>
      <c r="H1233" s="29"/>
      <c r="I1233" s="5" t="s">
        <v>15</v>
      </c>
      <c r="J1233" s="5" t="s">
        <v>30</v>
      </c>
      <c r="K1233" s="5"/>
    </row>
    <row r="1234" spans="1:11" ht="18.75" customHeight="1" x14ac:dyDescent="0.3">
      <c r="A1234" s="30">
        <v>1252</v>
      </c>
      <c r="B1234" s="29"/>
      <c r="C1234" s="5" t="s">
        <v>40</v>
      </c>
      <c r="D1234" s="7">
        <v>360</v>
      </c>
      <c r="E1234" s="31">
        <v>136190</v>
      </c>
      <c r="F1234" s="29"/>
      <c r="G1234" s="32">
        <v>45582</v>
      </c>
      <c r="H1234" s="29"/>
      <c r="I1234" s="5" t="s">
        <v>15</v>
      </c>
      <c r="J1234" s="5" t="s">
        <v>30</v>
      </c>
      <c r="K1234" s="5"/>
    </row>
    <row r="1235" spans="1:11" ht="18.75" customHeight="1" x14ac:dyDescent="0.3">
      <c r="A1235" s="30">
        <v>1253</v>
      </c>
      <c r="B1235" s="29"/>
      <c r="C1235" s="5" t="s">
        <v>40</v>
      </c>
      <c r="D1235" s="7">
        <v>425</v>
      </c>
      <c r="E1235" s="31">
        <v>137165</v>
      </c>
      <c r="F1235" s="29"/>
      <c r="G1235" s="32">
        <v>45582</v>
      </c>
      <c r="H1235" s="29"/>
      <c r="I1235" s="5" t="s">
        <v>15</v>
      </c>
      <c r="J1235" s="5" t="s">
        <v>30</v>
      </c>
      <c r="K1235" s="5"/>
    </row>
    <row r="1236" spans="1:11" ht="18.75" customHeight="1" x14ac:dyDescent="0.3">
      <c r="A1236" s="30">
        <v>1254</v>
      </c>
      <c r="B1236" s="29"/>
      <c r="C1236" s="5" t="s">
        <v>40</v>
      </c>
      <c r="D1236" s="7">
        <v>525</v>
      </c>
      <c r="E1236" s="31">
        <v>136332</v>
      </c>
      <c r="F1236" s="29"/>
      <c r="G1236" s="32">
        <v>45583</v>
      </c>
      <c r="H1236" s="29"/>
      <c r="I1236" s="5" t="s">
        <v>15</v>
      </c>
      <c r="J1236" s="5" t="s">
        <v>30</v>
      </c>
      <c r="K1236" s="5"/>
    </row>
    <row r="1237" spans="1:11" ht="18.75" customHeight="1" x14ac:dyDescent="0.3">
      <c r="A1237" s="30">
        <v>1255</v>
      </c>
      <c r="B1237" s="29"/>
      <c r="C1237" s="5" t="s">
        <v>40</v>
      </c>
      <c r="D1237" s="7">
        <v>340</v>
      </c>
      <c r="E1237" s="31">
        <v>141290</v>
      </c>
      <c r="F1237" s="29"/>
      <c r="G1237" s="32">
        <v>45583</v>
      </c>
      <c r="H1237" s="29"/>
      <c r="I1237" s="5" t="s">
        <v>15</v>
      </c>
      <c r="J1237" s="5" t="s">
        <v>30</v>
      </c>
      <c r="K1237" s="5"/>
    </row>
    <row r="1238" spans="1:11" ht="18.75" customHeight="1" x14ac:dyDescent="0.3">
      <c r="A1238" s="30">
        <v>1256</v>
      </c>
      <c r="B1238" s="29"/>
      <c r="C1238" s="5" t="s">
        <v>40</v>
      </c>
      <c r="D1238" s="7">
        <v>392</v>
      </c>
      <c r="E1238" s="31">
        <v>141296</v>
      </c>
      <c r="F1238" s="29"/>
      <c r="G1238" s="32">
        <v>45584</v>
      </c>
      <c r="H1238" s="29"/>
      <c r="I1238" s="5" t="s">
        <v>15</v>
      </c>
      <c r="J1238" s="5" t="s">
        <v>30</v>
      </c>
      <c r="K1238" s="5"/>
    </row>
    <row r="1239" spans="1:11" ht="18.75" customHeight="1" x14ac:dyDescent="0.3">
      <c r="A1239" s="30">
        <v>1257</v>
      </c>
      <c r="B1239" s="29"/>
      <c r="C1239" s="5" t="s">
        <v>40</v>
      </c>
      <c r="D1239" s="7">
        <v>400</v>
      </c>
      <c r="E1239" s="31">
        <v>136322</v>
      </c>
      <c r="F1239" s="29"/>
      <c r="G1239" s="32">
        <v>45580</v>
      </c>
      <c r="H1239" s="29"/>
      <c r="I1239" s="5" t="s">
        <v>28</v>
      </c>
      <c r="J1239" s="5" t="s">
        <v>80</v>
      </c>
      <c r="K1239" s="5"/>
    </row>
    <row r="1240" spans="1:11" ht="18.75" customHeight="1" x14ac:dyDescent="0.3">
      <c r="A1240" s="30">
        <v>1258</v>
      </c>
      <c r="B1240" s="29"/>
      <c r="C1240" s="5" t="s">
        <v>40</v>
      </c>
      <c r="D1240" s="7">
        <v>560</v>
      </c>
      <c r="E1240" s="31">
        <v>137155</v>
      </c>
      <c r="F1240" s="29"/>
      <c r="G1240" s="32">
        <v>45580</v>
      </c>
      <c r="H1240" s="29"/>
      <c r="I1240" s="5" t="s">
        <v>28</v>
      </c>
      <c r="J1240" s="5" t="s">
        <v>80</v>
      </c>
      <c r="K1240" s="5"/>
    </row>
    <row r="1241" spans="1:11" ht="18.75" customHeight="1" x14ac:dyDescent="0.3">
      <c r="A1241" s="30">
        <v>1259</v>
      </c>
      <c r="B1241" s="29"/>
      <c r="C1241" s="5" t="s">
        <v>40</v>
      </c>
      <c r="D1241" s="7">
        <v>280</v>
      </c>
      <c r="E1241" s="31">
        <v>141274</v>
      </c>
      <c r="F1241" s="29"/>
      <c r="G1241" s="32">
        <v>45581</v>
      </c>
      <c r="H1241" s="29"/>
      <c r="I1241" s="5" t="s">
        <v>28</v>
      </c>
      <c r="J1241" s="5" t="s">
        <v>80</v>
      </c>
      <c r="K1241" s="5"/>
    </row>
    <row r="1242" spans="1:11" ht="18.75" customHeight="1" x14ac:dyDescent="0.3">
      <c r="A1242" s="30">
        <v>1260</v>
      </c>
      <c r="B1242" s="29"/>
      <c r="C1242" s="5" t="s">
        <v>40</v>
      </c>
      <c r="D1242" s="7">
        <v>378</v>
      </c>
      <c r="E1242" s="31">
        <v>137160</v>
      </c>
      <c r="F1242" s="29"/>
      <c r="G1242" s="32">
        <v>45581</v>
      </c>
      <c r="H1242" s="29"/>
      <c r="I1242" s="5" t="s">
        <v>28</v>
      </c>
      <c r="J1242" s="5" t="s">
        <v>80</v>
      </c>
      <c r="K1242" s="5"/>
    </row>
    <row r="1243" spans="1:11" ht="18.75" customHeight="1" x14ac:dyDescent="0.3">
      <c r="A1243" s="30">
        <v>1261</v>
      </c>
      <c r="B1243" s="29"/>
      <c r="C1243" s="5" t="s">
        <v>40</v>
      </c>
      <c r="D1243" s="7">
        <v>392</v>
      </c>
      <c r="E1243" s="31">
        <v>141282</v>
      </c>
      <c r="F1243" s="29"/>
      <c r="G1243" s="32">
        <v>45582</v>
      </c>
      <c r="H1243" s="29"/>
      <c r="I1243" s="5" t="s">
        <v>28</v>
      </c>
      <c r="J1243" s="5" t="s">
        <v>80</v>
      </c>
      <c r="K1243" s="5"/>
    </row>
    <row r="1244" spans="1:11" ht="18.75" customHeight="1" x14ac:dyDescent="0.3">
      <c r="A1244" s="30">
        <v>1262</v>
      </c>
      <c r="B1244" s="29"/>
      <c r="C1244" s="5" t="s">
        <v>40</v>
      </c>
      <c r="D1244" s="7">
        <v>522</v>
      </c>
      <c r="E1244" s="31">
        <v>136328</v>
      </c>
      <c r="F1244" s="29"/>
      <c r="G1244" s="32">
        <v>45582</v>
      </c>
      <c r="H1244" s="29"/>
      <c r="I1244" s="5" t="s">
        <v>28</v>
      </c>
      <c r="J1244" s="5" t="s">
        <v>80</v>
      </c>
      <c r="K1244" s="5"/>
    </row>
    <row r="1245" spans="1:11" ht="18.75" customHeight="1" x14ac:dyDescent="0.3">
      <c r="A1245" s="30">
        <v>1263</v>
      </c>
      <c r="B1245" s="29"/>
      <c r="C1245" s="5" t="s">
        <v>40</v>
      </c>
      <c r="D1245" s="7">
        <v>525</v>
      </c>
      <c r="E1245" s="31">
        <v>136334</v>
      </c>
      <c r="F1245" s="29"/>
      <c r="G1245" s="32">
        <v>45583</v>
      </c>
      <c r="H1245" s="29"/>
      <c r="I1245" s="5" t="s">
        <v>28</v>
      </c>
      <c r="J1245" s="5" t="s">
        <v>80</v>
      </c>
      <c r="K1245" s="5"/>
    </row>
    <row r="1246" spans="1:11" ht="18.75" customHeight="1" x14ac:dyDescent="0.3">
      <c r="A1246" s="30">
        <v>1264</v>
      </c>
      <c r="B1246" s="29"/>
      <c r="C1246" s="5" t="s">
        <v>40</v>
      </c>
      <c r="D1246" s="7">
        <v>315</v>
      </c>
      <c r="E1246" s="31">
        <v>136336</v>
      </c>
      <c r="F1246" s="29"/>
      <c r="G1246" s="32">
        <v>45583</v>
      </c>
      <c r="H1246" s="29"/>
      <c r="I1246" s="5" t="s">
        <v>28</v>
      </c>
      <c r="J1246" s="5" t="s">
        <v>80</v>
      </c>
      <c r="K1246" s="5"/>
    </row>
    <row r="1247" spans="1:11" ht="18.75" customHeight="1" x14ac:dyDescent="0.3">
      <c r="A1247" s="30">
        <v>1265</v>
      </c>
      <c r="B1247" s="29"/>
      <c r="C1247" s="5" t="s">
        <v>40</v>
      </c>
      <c r="D1247" s="7">
        <v>450</v>
      </c>
      <c r="E1247" s="31">
        <v>136338</v>
      </c>
      <c r="F1247" s="29"/>
      <c r="G1247" s="32">
        <v>45584</v>
      </c>
      <c r="H1247" s="29"/>
      <c r="I1247" s="5" t="s">
        <v>28</v>
      </c>
      <c r="J1247" s="5" t="s">
        <v>80</v>
      </c>
      <c r="K1247" s="5"/>
    </row>
    <row r="1248" spans="1:11" ht="18.75" customHeight="1" x14ac:dyDescent="0.3">
      <c r="A1248" s="30">
        <v>1266</v>
      </c>
      <c r="B1248" s="29"/>
      <c r="C1248" s="5" t="s">
        <v>40</v>
      </c>
      <c r="D1248" s="7">
        <v>350</v>
      </c>
      <c r="E1248" s="31">
        <v>137176</v>
      </c>
      <c r="F1248" s="29"/>
      <c r="G1248" s="32">
        <v>45584</v>
      </c>
      <c r="H1248" s="29"/>
      <c r="I1248" s="5" t="s">
        <v>28</v>
      </c>
      <c r="J1248" s="5" t="s">
        <v>80</v>
      </c>
      <c r="K1248" s="5"/>
    </row>
    <row r="1249" spans="1:11" ht="18.75" customHeight="1" x14ac:dyDescent="0.3">
      <c r="A1249" s="30">
        <v>1267</v>
      </c>
      <c r="B1249" s="29"/>
      <c r="C1249" s="5" t="s">
        <v>14</v>
      </c>
      <c r="D1249" s="7">
        <v>257</v>
      </c>
      <c r="E1249" s="31">
        <v>24596</v>
      </c>
      <c r="F1249" s="29"/>
      <c r="G1249" s="32">
        <v>45586</v>
      </c>
      <c r="H1249" s="29"/>
      <c r="I1249" s="5" t="s">
        <v>84</v>
      </c>
      <c r="J1249" s="5" t="s">
        <v>85</v>
      </c>
      <c r="K1249" s="5" t="s">
        <v>70</v>
      </c>
    </row>
    <row r="1250" spans="1:11" ht="18.75" customHeight="1" x14ac:dyDescent="0.3">
      <c r="A1250" s="30">
        <v>1268</v>
      </c>
      <c r="B1250" s="29"/>
      <c r="C1250" s="5" t="s">
        <v>14</v>
      </c>
      <c r="D1250" s="7">
        <v>358</v>
      </c>
      <c r="E1250" s="31">
        <v>24631</v>
      </c>
      <c r="F1250" s="29"/>
      <c r="G1250" s="32">
        <v>45587</v>
      </c>
      <c r="H1250" s="29"/>
      <c r="I1250" s="5" t="s">
        <v>84</v>
      </c>
      <c r="J1250" s="5" t="s">
        <v>85</v>
      </c>
      <c r="K1250" s="5" t="s">
        <v>70</v>
      </c>
    </row>
    <row r="1251" spans="1:11" ht="18.75" customHeight="1" x14ac:dyDescent="0.3">
      <c r="A1251" s="30">
        <v>1269</v>
      </c>
      <c r="B1251" s="29"/>
      <c r="C1251" s="5" t="s">
        <v>14</v>
      </c>
      <c r="D1251" s="7">
        <v>463</v>
      </c>
      <c r="E1251" s="31">
        <v>24636</v>
      </c>
      <c r="F1251" s="29"/>
      <c r="G1251" s="32">
        <v>45588</v>
      </c>
      <c r="H1251" s="29"/>
      <c r="I1251" s="5" t="s">
        <v>84</v>
      </c>
      <c r="J1251" s="5" t="s">
        <v>85</v>
      </c>
      <c r="K1251" s="5" t="s">
        <v>70</v>
      </c>
    </row>
    <row r="1252" spans="1:11" ht="18.75" customHeight="1" x14ac:dyDescent="0.3">
      <c r="A1252" s="30">
        <v>1270</v>
      </c>
      <c r="B1252" s="29"/>
      <c r="C1252" s="5" t="s">
        <v>14</v>
      </c>
      <c r="D1252" s="7">
        <v>149</v>
      </c>
      <c r="E1252" s="31">
        <v>24646</v>
      </c>
      <c r="F1252" s="29"/>
      <c r="G1252" s="32">
        <v>45589</v>
      </c>
      <c r="H1252" s="29"/>
      <c r="I1252" s="5" t="s">
        <v>84</v>
      </c>
      <c r="J1252" s="5" t="s">
        <v>85</v>
      </c>
      <c r="K1252" s="5" t="s">
        <v>70</v>
      </c>
    </row>
    <row r="1253" spans="1:11" ht="18.75" customHeight="1" x14ac:dyDescent="0.3">
      <c r="A1253" s="30">
        <v>1271</v>
      </c>
      <c r="B1253" s="29"/>
      <c r="C1253" s="5" t="s">
        <v>14</v>
      </c>
      <c r="D1253" s="7">
        <v>243</v>
      </c>
      <c r="E1253" s="31">
        <v>24661</v>
      </c>
      <c r="F1253" s="29"/>
      <c r="G1253" s="32">
        <v>45590</v>
      </c>
      <c r="H1253" s="29"/>
      <c r="I1253" s="5" t="s">
        <v>84</v>
      </c>
      <c r="J1253" s="5" t="s">
        <v>85</v>
      </c>
      <c r="K1253" s="5" t="s">
        <v>70</v>
      </c>
    </row>
    <row r="1254" spans="1:11" ht="18.75" customHeight="1" x14ac:dyDescent="0.3">
      <c r="A1254" s="30">
        <v>1272</v>
      </c>
      <c r="B1254" s="29"/>
      <c r="C1254" s="5" t="s">
        <v>14</v>
      </c>
      <c r="D1254" s="7">
        <v>190</v>
      </c>
      <c r="E1254" s="31">
        <v>24672</v>
      </c>
      <c r="F1254" s="29"/>
      <c r="G1254" s="32">
        <v>45591</v>
      </c>
      <c r="H1254" s="29"/>
      <c r="I1254" s="5" t="s">
        <v>84</v>
      </c>
      <c r="J1254" s="5" t="s">
        <v>85</v>
      </c>
      <c r="K1254" s="5" t="s">
        <v>70</v>
      </c>
    </row>
    <row r="1255" spans="1:11" ht="18.75" customHeight="1" x14ac:dyDescent="0.3">
      <c r="A1255" s="30">
        <v>1273</v>
      </c>
      <c r="B1255" s="29"/>
      <c r="C1255" s="5" t="s">
        <v>40</v>
      </c>
      <c r="D1255" s="7">
        <v>450</v>
      </c>
      <c r="E1255" s="31">
        <v>136341</v>
      </c>
      <c r="F1255" s="29"/>
      <c r="G1255" s="32">
        <v>45586</v>
      </c>
      <c r="H1255" s="29"/>
      <c r="I1255" s="5" t="s">
        <v>15</v>
      </c>
      <c r="J1255" s="5" t="s">
        <v>30</v>
      </c>
      <c r="K1255" s="5"/>
    </row>
    <row r="1256" spans="1:11" ht="18.75" customHeight="1" x14ac:dyDescent="0.3">
      <c r="A1256" s="30">
        <v>1274</v>
      </c>
      <c r="B1256" s="29"/>
      <c r="C1256" s="5" t="s">
        <v>40</v>
      </c>
      <c r="D1256" s="7">
        <v>335</v>
      </c>
      <c r="E1256" s="31">
        <v>135855</v>
      </c>
      <c r="F1256" s="29"/>
      <c r="G1256" s="32">
        <v>45586</v>
      </c>
      <c r="H1256" s="29"/>
      <c r="I1256" s="5" t="s">
        <v>15</v>
      </c>
      <c r="J1256" s="5" t="s">
        <v>30</v>
      </c>
      <c r="K1256" s="5"/>
    </row>
    <row r="1257" spans="1:11" ht="18.75" customHeight="1" x14ac:dyDescent="0.3">
      <c r="A1257" s="30">
        <v>1275</v>
      </c>
      <c r="B1257" s="29"/>
      <c r="C1257" s="5" t="s">
        <v>40</v>
      </c>
      <c r="D1257" s="7">
        <v>518</v>
      </c>
      <c r="E1257" s="31">
        <v>137182</v>
      </c>
      <c r="F1257" s="29"/>
      <c r="G1257" s="32">
        <v>45587</v>
      </c>
      <c r="H1257" s="29"/>
      <c r="I1257" s="5" t="s">
        <v>15</v>
      </c>
      <c r="J1257" s="5" t="s">
        <v>30</v>
      </c>
      <c r="K1257" s="5"/>
    </row>
    <row r="1258" spans="1:11" ht="18.75" customHeight="1" x14ac:dyDescent="0.3">
      <c r="A1258" s="30">
        <v>1276</v>
      </c>
      <c r="B1258" s="29"/>
      <c r="C1258" s="5" t="s">
        <v>40</v>
      </c>
      <c r="D1258" s="7">
        <v>400</v>
      </c>
      <c r="E1258" s="31">
        <v>136346</v>
      </c>
      <c r="F1258" s="29"/>
      <c r="G1258" s="32">
        <v>45588</v>
      </c>
      <c r="H1258" s="29"/>
      <c r="I1258" s="5" t="s">
        <v>15</v>
      </c>
      <c r="J1258" s="5" t="s">
        <v>30</v>
      </c>
      <c r="K1258" s="5"/>
    </row>
    <row r="1259" spans="1:11" ht="18.75" customHeight="1" x14ac:dyDescent="0.3">
      <c r="A1259" s="30">
        <v>1277</v>
      </c>
      <c r="B1259" s="29"/>
      <c r="C1259" s="5" t="s">
        <v>40</v>
      </c>
      <c r="D1259" s="7">
        <v>288</v>
      </c>
      <c r="E1259" s="31">
        <v>135866</v>
      </c>
      <c r="F1259" s="29"/>
      <c r="G1259" s="32">
        <v>45589</v>
      </c>
      <c r="H1259" s="29"/>
      <c r="I1259" s="5" t="s">
        <v>15</v>
      </c>
      <c r="J1259" s="5" t="s">
        <v>30</v>
      </c>
      <c r="K1259" s="5"/>
    </row>
    <row r="1260" spans="1:11" ht="18.75" customHeight="1" x14ac:dyDescent="0.3">
      <c r="A1260" s="30">
        <v>1278</v>
      </c>
      <c r="B1260" s="29"/>
      <c r="C1260" s="5" t="s">
        <v>40</v>
      </c>
      <c r="D1260" s="7">
        <v>503</v>
      </c>
      <c r="E1260" s="31">
        <v>137197</v>
      </c>
      <c r="F1260" s="29"/>
      <c r="G1260" s="32">
        <v>45588</v>
      </c>
      <c r="H1260" s="29"/>
      <c r="I1260" s="5" t="s">
        <v>15</v>
      </c>
      <c r="J1260" s="5" t="s">
        <v>30</v>
      </c>
      <c r="K1260" s="5"/>
    </row>
    <row r="1261" spans="1:11" ht="18.75" customHeight="1" x14ac:dyDescent="0.3">
      <c r="A1261" s="30">
        <v>1279</v>
      </c>
      <c r="B1261" s="29"/>
      <c r="C1261" s="5" t="s">
        <v>40</v>
      </c>
      <c r="D1261" s="7">
        <v>520</v>
      </c>
      <c r="E1261" s="31">
        <v>136357</v>
      </c>
      <c r="F1261" s="29"/>
      <c r="G1261" s="32">
        <v>45590</v>
      </c>
      <c r="H1261" s="29"/>
      <c r="I1261" s="5" t="s">
        <v>15</v>
      </c>
      <c r="J1261" s="5" t="s">
        <v>30</v>
      </c>
      <c r="K1261" s="5"/>
    </row>
    <row r="1262" spans="1:11" ht="18.75" customHeight="1" x14ac:dyDescent="0.3">
      <c r="A1262" s="30">
        <v>1280</v>
      </c>
      <c r="B1262" s="29"/>
      <c r="C1262" s="5" t="s">
        <v>40</v>
      </c>
      <c r="D1262" s="7">
        <v>360</v>
      </c>
      <c r="E1262" s="31">
        <v>137207</v>
      </c>
      <c r="F1262" s="29"/>
      <c r="G1262" s="32">
        <v>45590</v>
      </c>
      <c r="H1262" s="29"/>
      <c r="I1262" s="5" t="s">
        <v>15</v>
      </c>
      <c r="J1262" s="5" t="s">
        <v>30</v>
      </c>
      <c r="K1262" s="5"/>
    </row>
    <row r="1263" spans="1:11" ht="18.75" customHeight="1" x14ac:dyDescent="0.3">
      <c r="A1263" s="30">
        <v>1281</v>
      </c>
      <c r="B1263" s="29"/>
      <c r="C1263" s="5" t="s">
        <v>40</v>
      </c>
      <c r="D1263" s="7">
        <v>288</v>
      </c>
      <c r="E1263" s="31">
        <v>135878</v>
      </c>
      <c r="F1263" s="29"/>
      <c r="G1263" s="32">
        <v>45591</v>
      </c>
      <c r="H1263" s="29"/>
      <c r="I1263" s="5" t="s">
        <v>15</v>
      </c>
      <c r="J1263" s="5" t="s">
        <v>30</v>
      </c>
      <c r="K1263" s="5"/>
    </row>
    <row r="1264" spans="1:11" ht="18.75" customHeight="1" x14ac:dyDescent="0.3">
      <c r="A1264" s="30">
        <v>1282</v>
      </c>
      <c r="B1264" s="29"/>
      <c r="C1264" s="5" t="s">
        <v>40</v>
      </c>
      <c r="D1264" s="7">
        <v>500</v>
      </c>
      <c r="E1264" s="31">
        <v>137212</v>
      </c>
      <c r="F1264" s="29"/>
      <c r="G1264" s="32">
        <v>45591</v>
      </c>
      <c r="H1264" s="29"/>
      <c r="I1264" s="5" t="s">
        <v>15</v>
      </c>
      <c r="J1264" s="5" t="s">
        <v>30</v>
      </c>
      <c r="K1264" s="5"/>
    </row>
    <row r="1265" spans="1:11" ht="18.75" customHeight="1" x14ac:dyDescent="0.3">
      <c r="A1265" s="30">
        <v>1283</v>
      </c>
      <c r="B1265" s="29"/>
      <c r="C1265" s="5" t="s">
        <v>40</v>
      </c>
      <c r="D1265" s="7">
        <v>500</v>
      </c>
      <c r="E1265" s="31">
        <v>137178</v>
      </c>
      <c r="F1265" s="29"/>
      <c r="G1265" s="32">
        <v>45586</v>
      </c>
      <c r="H1265" s="29"/>
      <c r="I1265" s="5" t="s">
        <v>28</v>
      </c>
      <c r="J1265" s="5" t="s">
        <v>80</v>
      </c>
      <c r="K1265" s="5"/>
    </row>
    <row r="1266" spans="1:11" ht="18.75" customHeight="1" x14ac:dyDescent="0.3">
      <c r="A1266" s="30">
        <v>1284</v>
      </c>
      <c r="B1266" s="29"/>
      <c r="C1266" s="5" t="s">
        <v>40</v>
      </c>
      <c r="D1266" s="7">
        <v>650</v>
      </c>
      <c r="E1266" s="31">
        <v>136342</v>
      </c>
      <c r="F1266" s="29"/>
      <c r="G1266" s="32">
        <v>45587</v>
      </c>
      <c r="H1266" s="29"/>
      <c r="I1266" s="5" t="s">
        <v>28</v>
      </c>
      <c r="J1266" s="5" t="s">
        <v>80</v>
      </c>
      <c r="K1266" s="5"/>
    </row>
    <row r="1267" spans="1:11" ht="18.75" customHeight="1" x14ac:dyDescent="0.3">
      <c r="A1267" s="30">
        <v>1285</v>
      </c>
      <c r="B1267" s="29"/>
      <c r="C1267" s="5" t="s">
        <v>40</v>
      </c>
      <c r="D1267" s="7">
        <v>373</v>
      </c>
      <c r="E1267" s="31">
        <v>137193</v>
      </c>
      <c r="F1267" s="29"/>
      <c r="G1267" s="32">
        <v>45588</v>
      </c>
      <c r="H1267" s="29"/>
      <c r="I1267" s="5" t="s">
        <v>28</v>
      </c>
      <c r="J1267" s="5" t="s">
        <v>80</v>
      </c>
      <c r="K1267" s="5"/>
    </row>
    <row r="1268" spans="1:11" ht="18.75" customHeight="1" x14ac:dyDescent="0.3">
      <c r="A1268" s="30">
        <v>1286</v>
      </c>
      <c r="B1268" s="29"/>
      <c r="C1268" s="5" t="s">
        <v>40</v>
      </c>
      <c r="D1268" s="7">
        <v>366</v>
      </c>
      <c r="E1268" s="31">
        <v>135863</v>
      </c>
      <c r="F1268" s="29"/>
      <c r="G1268" s="32">
        <v>45588</v>
      </c>
      <c r="H1268" s="29"/>
      <c r="I1268" s="5" t="s">
        <v>28</v>
      </c>
      <c r="J1268" s="5" t="s">
        <v>80</v>
      </c>
      <c r="K1268" s="5"/>
    </row>
    <row r="1269" spans="1:11" ht="18.75" customHeight="1" x14ac:dyDescent="0.3">
      <c r="A1269" s="30">
        <v>1287</v>
      </c>
      <c r="B1269" s="29"/>
      <c r="C1269" s="5" t="s">
        <v>40</v>
      </c>
      <c r="D1269" s="7">
        <v>650</v>
      </c>
      <c r="E1269" s="31">
        <v>136349</v>
      </c>
      <c r="F1269" s="29"/>
      <c r="G1269" s="32">
        <v>45589</v>
      </c>
      <c r="H1269" s="29"/>
      <c r="I1269" s="5" t="s">
        <v>28</v>
      </c>
      <c r="J1269" s="5" t="s">
        <v>80</v>
      </c>
      <c r="K1269" s="5"/>
    </row>
    <row r="1270" spans="1:11" ht="18.75" customHeight="1" x14ac:dyDescent="0.3">
      <c r="A1270" s="30">
        <v>1288</v>
      </c>
      <c r="B1270" s="29"/>
      <c r="C1270" s="5" t="s">
        <v>40</v>
      </c>
      <c r="D1270" s="7">
        <v>500</v>
      </c>
      <c r="E1270" s="31">
        <v>137201</v>
      </c>
      <c r="F1270" s="29"/>
      <c r="G1270" s="32">
        <v>45589</v>
      </c>
      <c r="H1270" s="29"/>
      <c r="I1270" s="5" t="s">
        <v>28</v>
      </c>
      <c r="J1270" s="5" t="s">
        <v>80</v>
      </c>
      <c r="K1270" s="5"/>
    </row>
    <row r="1271" spans="1:11" ht="18.75" customHeight="1" x14ac:dyDescent="0.3">
      <c r="A1271" s="30">
        <v>1289</v>
      </c>
      <c r="B1271" s="29"/>
      <c r="C1271" s="5" t="s">
        <v>40</v>
      </c>
      <c r="D1271" s="7">
        <v>352</v>
      </c>
      <c r="E1271" s="31">
        <v>135873</v>
      </c>
      <c r="F1271" s="29"/>
      <c r="G1271" s="32">
        <v>45590</v>
      </c>
      <c r="H1271" s="29"/>
      <c r="I1271" s="5" t="s">
        <v>28</v>
      </c>
      <c r="J1271" s="5" t="s">
        <v>80</v>
      </c>
      <c r="K1271" s="5"/>
    </row>
    <row r="1272" spans="1:11" ht="18.75" customHeight="1" x14ac:dyDescent="0.3">
      <c r="A1272" s="30">
        <v>1290</v>
      </c>
      <c r="B1272" s="29"/>
      <c r="C1272" s="5" t="s">
        <v>40</v>
      </c>
      <c r="D1272" s="7">
        <v>352</v>
      </c>
      <c r="E1272" s="31">
        <v>135884</v>
      </c>
      <c r="F1272" s="29"/>
      <c r="G1272" s="32">
        <v>45591</v>
      </c>
      <c r="H1272" s="29"/>
      <c r="I1272" s="5" t="s">
        <v>28</v>
      </c>
      <c r="J1272" s="5" t="s">
        <v>80</v>
      </c>
      <c r="K1272" s="5"/>
    </row>
    <row r="1273" spans="1:11" ht="18.75" customHeight="1" x14ac:dyDescent="0.3">
      <c r="A1273" s="30">
        <v>1291</v>
      </c>
      <c r="B1273" s="29"/>
      <c r="C1273" s="5" t="s">
        <v>40</v>
      </c>
      <c r="D1273" s="7">
        <v>700</v>
      </c>
      <c r="E1273" s="31">
        <v>136360</v>
      </c>
      <c r="F1273" s="29"/>
      <c r="G1273" s="32">
        <v>45590</v>
      </c>
      <c r="H1273" s="29"/>
      <c r="I1273" s="5" t="s">
        <v>28</v>
      </c>
      <c r="J1273" s="5" t="s">
        <v>80</v>
      </c>
      <c r="K1273" s="5"/>
    </row>
    <row r="1274" spans="1:11" ht="18.75" customHeight="1" x14ac:dyDescent="0.3">
      <c r="A1274" s="30">
        <v>1292</v>
      </c>
      <c r="B1274" s="29"/>
      <c r="C1274" s="5" t="s">
        <v>40</v>
      </c>
      <c r="D1274" s="7">
        <v>430</v>
      </c>
      <c r="E1274" s="31">
        <v>137209</v>
      </c>
      <c r="F1274" s="29"/>
      <c r="G1274" s="32">
        <v>45591</v>
      </c>
      <c r="H1274" s="29"/>
      <c r="I1274" s="5" t="s">
        <v>28</v>
      </c>
      <c r="J1274" s="5" t="s">
        <v>80</v>
      </c>
      <c r="K1274" s="5"/>
    </row>
    <row r="1275" spans="1:11" ht="18.75" customHeight="1" x14ac:dyDescent="0.3">
      <c r="A1275" s="30">
        <v>1293</v>
      </c>
      <c r="B1275" s="29"/>
      <c r="C1275" s="5" t="s">
        <v>40</v>
      </c>
      <c r="D1275" s="7">
        <v>400</v>
      </c>
      <c r="E1275" s="31">
        <v>135885</v>
      </c>
      <c r="F1275" s="29"/>
      <c r="G1275" s="32">
        <v>45593</v>
      </c>
      <c r="H1275" s="29"/>
      <c r="I1275" s="5" t="s">
        <v>15</v>
      </c>
      <c r="J1275" s="5" t="s">
        <v>30</v>
      </c>
      <c r="K1275" s="5"/>
    </row>
    <row r="1276" spans="1:11" ht="18.75" customHeight="1" x14ac:dyDescent="0.3">
      <c r="A1276" s="30">
        <v>1294</v>
      </c>
      <c r="B1276" s="29"/>
      <c r="C1276" s="5" t="s">
        <v>40</v>
      </c>
      <c r="D1276" s="7">
        <v>288</v>
      </c>
      <c r="E1276" s="31">
        <v>135892</v>
      </c>
      <c r="F1276" s="29"/>
      <c r="G1276" s="32">
        <v>45594</v>
      </c>
      <c r="H1276" s="29"/>
      <c r="I1276" s="5" t="s">
        <v>15</v>
      </c>
      <c r="J1276" s="5" t="s">
        <v>30</v>
      </c>
      <c r="K1276" s="5"/>
    </row>
    <row r="1277" spans="1:11" ht="18.75" customHeight="1" x14ac:dyDescent="0.3">
      <c r="A1277" s="30">
        <v>1295</v>
      </c>
      <c r="B1277" s="29"/>
      <c r="C1277" s="5" t="s">
        <v>40</v>
      </c>
      <c r="D1277" s="7">
        <v>640</v>
      </c>
      <c r="E1277" s="31">
        <v>137227</v>
      </c>
      <c r="F1277" s="29"/>
      <c r="G1277" s="32">
        <v>45594</v>
      </c>
      <c r="H1277" s="29"/>
      <c r="I1277" s="5" t="s">
        <v>15</v>
      </c>
      <c r="J1277" s="5" t="s">
        <v>30</v>
      </c>
      <c r="K1277" s="5"/>
    </row>
    <row r="1278" spans="1:11" ht="18.75" customHeight="1" x14ac:dyDescent="0.3">
      <c r="A1278" s="30">
        <v>1296</v>
      </c>
      <c r="B1278" s="29"/>
      <c r="C1278" s="5" t="s">
        <v>40</v>
      </c>
      <c r="D1278" s="7">
        <v>360</v>
      </c>
      <c r="E1278" s="31">
        <v>137242</v>
      </c>
      <c r="F1278" s="29"/>
      <c r="G1278" s="32">
        <v>45596</v>
      </c>
      <c r="H1278" s="29"/>
      <c r="I1278" s="5" t="s">
        <v>15</v>
      </c>
      <c r="J1278" s="5" t="s">
        <v>30</v>
      </c>
      <c r="K1278" s="5"/>
    </row>
    <row r="1279" spans="1:11" ht="18.75" customHeight="1" x14ac:dyDescent="0.3">
      <c r="A1279" s="30">
        <v>1297</v>
      </c>
      <c r="B1279" s="29"/>
      <c r="C1279" s="5" t="s">
        <v>40</v>
      </c>
      <c r="D1279" s="7">
        <v>503</v>
      </c>
      <c r="E1279" s="31">
        <v>137230</v>
      </c>
      <c r="F1279" s="29"/>
      <c r="G1279" s="32">
        <v>45595</v>
      </c>
      <c r="H1279" s="29"/>
      <c r="I1279" s="5" t="s">
        <v>15</v>
      </c>
      <c r="J1279" s="5" t="s">
        <v>30</v>
      </c>
      <c r="K1279" s="5"/>
    </row>
    <row r="1280" spans="1:11" ht="18.75" customHeight="1" x14ac:dyDescent="0.3">
      <c r="A1280" s="30">
        <v>1298</v>
      </c>
      <c r="B1280" s="29"/>
      <c r="C1280" s="5" t="s">
        <v>40</v>
      </c>
      <c r="D1280" s="7">
        <v>450</v>
      </c>
      <c r="E1280" s="31">
        <v>136370</v>
      </c>
      <c r="F1280" s="29"/>
      <c r="G1280" s="32">
        <v>45596</v>
      </c>
      <c r="H1280" s="29"/>
      <c r="I1280" s="5" t="s">
        <v>15</v>
      </c>
      <c r="J1280" s="5" t="s">
        <v>30</v>
      </c>
      <c r="K1280" s="5"/>
    </row>
    <row r="1281" spans="1:11" ht="18.75" customHeight="1" x14ac:dyDescent="0.3">
      <c r="A1281" s="30">
        <v>1299</v>
      </c>
      <c r="B1281" s="29"/>
      <c r="C1281" s="5" t="s">
        <v>40</v>
      </c>
      <c r="D1281" s="7">
        <v>500</v>
      </c>
      <c r="E1281" s="31">
        <v>137220</v>
      </c>
      <c r="F1281" s="29"/>
      <c r="G1281" s="32">
        <v>45593</v>
      </c>
      <c r="H1281" s="29"/>
      <c r="I1281" s="5" t="s">
        <v>28</v>
      </c>
      <c r="J1281" s="5" t="s">
        <v>80</v>
      </c>
      <c r="K1281" s="5"/>
    </row>
    <row r="1282" spans="1:11" ht="18.75" customHeight="1" x14ac:dyDescent="0.3">
      <c r="A1282" s="30">
        <v>1300</v>
      </c>
      <c r="B1282" s="29"/>
      <c r="C1282" s="5" t="s">
        <v>40</v>
      </c>
      <c r="D1282" s="7">
        <v>458</v>
      </c>
      <c r="E1282" s="31">
        <v>137215</v>
      </c>
      <c r="F1282" s="29"/>
      <c r="G1282" s="32">
        <v>45593</v>
      </c>
      <c r="H1282" s="29"/>
      <c r="I1282" s="5" t="s">
        <v>28</v>
      </c>
      <c r="J1282" s="5" t="s">
        <v>80</v>
      </c>
      <c r="K1282" s="5"/>
    </row>
    <row r="1283" spans="1:11" ht="18.75" customHeight="1" x14ac:dyDescent="0.3">
      <c r="A1283" s="30">
        <v>1301</v>
      </c>
      <c r="B1283" s="29"/>
      <c r="C1283" s="5" t="s">
        <v>40</v>
      </c>
      <c r="D1283" s="7">
        <v>503</v>
      </c>
      <c r="E1283" s="31">
        <v>137224</v>
      </c>
      <c r="F1283" s="29"/>
      <c r="G1283" s="32">
        <v>45594</v>
      </c>
      <c r="H1283" s="29"/>
      <c r="I1283" s="5" t="s">
        <v>28</v>
      </c>
      <c r="J1283" s="5" t="s">
        <v>80</v>
      </c>
      <c r="K1283" s="5"/>
    </row>
    <row r="1284" spans="1:11" ht="18.75" customHeight="1" x14ac:dyDescent="0.3">
      <c r="A1284" s="30">
        <v>1302</v>
      </c>
      <c r="B1284" s="29"/>
      <c r="C1284" s="5" t="s">
        <v>40</v>
      </c>
      <c r="D1284" s="7">
        <v>400</v>
      </c>
      <c r="E1284" s="31">
        <v>135898</v>
      </c>
      <c r="F1284" s="29"/>
      <c r="G1284" s="32">
        <v>45595</v>
      </c>
      <c r="H1284" s="29"/>
      <c r="I1284" s="5" t="s">
        <v>28</v>
      </c>
      <c r="J1284" s="5" t="s">
        <v>80</v>
      </c>
      <c r="K1284" s="5"/>
    </row>
    <row r="1285" spans="1:11" ht="18.75" customHeight="1" x14ac:dyDescent="0.3">
      <c r="A1285" s="30">
        <v>1303</v>
      </c>
      <c r="B1285" s="29"/>
      <c r="C1285" s="5" t="s">
        <v>40</v>
      </c>
      <c r="D1285" s="7">
        <v>360</v>
      </c>
      <c r="E1285" s="31">
        <v>137237</v>
      </c>
      <c r="F1285" s="29"/>
      <c r="G1285" s="32">
        <v>45595</v>
      </c>
      <c r="H1285" s="29"/>
      <c r="I1285" s="5" t="s">
        <v>28</v>
      </c>
      <c r="J1285" s="5" t="s">
        <v>80</v>
      </c>
      <c r="K1285" s="5"/>
    </row>
    <row r="1286" spans="1:11" ht="18.75" customHeight="1" x14ac:dyDescent="0.3">
      <c r="A1286" s="30">
        <v>1304</v>
      </c>
      <c r="B1286" s="29"/>
      <c r="C1286" s="5" t="s">
        <v>40</v>
      </c>
      <c r="D1286" s="7">
        <v>500</v>
      </c>
      <c r="E1286" s="31">
        <v>137221</v>
      </c>
      <c r="F1286" s="29"/>
      <c r="G1286" s="32">
        <v>45593</v>
      </c>
      <c r="H1286" s="29"/>
      <c r="I1286" s="5" t="s">
        <v>15</v>
      </c>
      <c r="J1286" s="5" t="s">
        <v>30</v>
      </c>
      <c r="K1286" s="5"/>
    </row>
    <row r="1287" spans="1:11" ht="18.75" customHeight="1" x14ac:dyDescent="0.3">
      <c r="A1287" s="30">
        <v>1305</v>
      </c>
      <c r="B1287" s="29"/>
      <c r="C1287" s="5" t="s">
        <v>14</v>
      </c>
      <c r="D1287" s="7">
        <v>335</v>
      </c>
      <c r="E1287" s="31">
        <v>24705</v>
      </c>
      <c r="F1287" s="29"/>
      <c r="G1287" s="32">
        <v>45593</v>
      </c>
      <c r="H1287" s="29"/>
      <c r="I1287" s="5" t="s">
        <v>84</v>
      </c>
      <c r="J1287" s="5" t="s">
        <v>85</v>
      </c>
      <c r="K1287" s="5" t="s">
        <v>70</v>
      </c>
    </row>
    <row r="1288" spans="1:11" ht="18.75" customHeight="1" x14ac:dyDescent="0.3">
      <c r="A1288" s="30">
        <v>1306</v>
      </c>
      <c r="B1288" s="29"/>
      <c r="C1288" s="5" t="s">
        <v>14</v>
      </c>
      <c r="D1288" s="7">
        <v>370</v>
      </c>
      <c r="E1288" s="31">
        <v>24723</v>
      </c>
      <c r="F1288" s="29"/>
      <c r="G1288" s="32">
        <v>45594</v>
      </c>
      <c r="H1288" s="29"/>
      <c r="I1288" s="5" t="s">
        <v>84</v>
      </c>
      <c r="J1288" s="5" t="s">
        <v>85</v>
      </c>
      <c r="K1288" s="5" t="s">
        <v>70</v>
      </c>
    </row>
    <row r="1289" spans="1:11" ht="18.75" customHeight="1" x14ac:dyDescent="0.3">
      <c r="A1289" s="30">
        <v>1307</v>
      </c>
      <c r="B1289" s="29"/>
      <c r="C1289" s="5" t="s">
        <v>14</v>
      </c>
      <c r="D1289" s="7">
        <v>406</v>
      </c>
      <c r="E1289" s="31">
        <v>24730</v>
      </c>
      <c r="F1289" s="29"/>
      <c r="G1289" s="32">
        <v>45595</v>
      </c>
      <c r="H1289" s="29"/>
      <c r="I1289" s="5" t="s">
        <v>84</v>
      </c>
      <c r="J1289" s="5" t="s">
        <v>85</v>
      </c>
      <c r="K1289" s="5" t="s">
        <v>70</v>
      </c>
    </row>
    <row r="1290" spans="1:11" ht="18.75" customHeight="1" x14ac:dyDescent="0.3">
      <c r="A1290" s="30">
        <v>1308</v>
      </c>
      <c r="B1290" s="29"/>
      <c r="C1290" s="5" t="s">
        <v>14</v>
      </c>
      <c r="D1290" s="7">
        <v>284</v>
      </c>
      <c r="E1290" s="31">
        <v>24740</v>
      </c>
      <c r="F1290" s="29"/>
      <c r="G1290" s="32">
        <v>45596</v>
      </c>
      <c r="H1290" s="29"/>
      <c r="I1290" s="5" t="s">
        <v>84</v>
      </c>
      <c r="J1290" s="5" t="s">
        <v>85</v>
      </c>
      <c r="K1290" s="5" t="s">
        <v>70</v>
      </c>
    </row>
    <row r="1291" spans="1:11" ht="18.75" customHeight="1" x14ac:dyDescent="0.3">
      <c r="A1291" s="30">
        <v>1309</v>
      </c>
      <c r="B1291" s="29"/>
      <c r="C1291" s="5" t="s">
        <v>14</v>
      </c>
      <c r="D1291" s="7">
        <v>281</v>
      </c>
      <c r="E1291" s="31">
        <v>24687</v>
      </c>
      <c r="F1291" s="29"/>
      <c r="G1291" s="32">
        <v>45597</v>
      </c>
      <c r="H1291" s="29"/>
      <c r="I1291" s="5" t="s">
        <v>84</v>
      </c>
      <c r="J1291" s="5" t="s">
        <v>85</v>
      </c>
      <c r="K1291" s="5" t="s">
        <v>70</v>
      </c>
    </row>
    <row r="1292" spans="1:11" ht="18.75" customHeight="1" x14ac:dyDescent="0.3">
      <c r="A1292" s="30">
        <v>1310</v>
      </c>
      <c r="B1292" s="29"/>
      <c r="C1292" s="5" t="s">
        <v>14</v>
      </c>
      <c r="D1292" s="7">
        <v>289</v>
      </c>
      <c r="E1292" s="31">
        <v>24696</v>
      </c>
      <c r="F1292" s="29"/>
      <c r="G1292" s="32">
        <v>45599</v>
      </c>
      <c r="H1292" s="29"/>
      <c r="I1292" s="5" t="s">
        <v>84</v>
      </c>
      <c r="J1292" s="5" t="s">
        <v>85</v>
      </c>
      <c r="K1292" s="5" t="s">
        <v>70</v>
      </c>
    </row>
    <row r="1293" spans="1:11" ht="18.75" customHeight="1" x14ac:dyDescent="0.3">
      <c r="A1293" s="30">
        <v>1311</v>
      </c>
      <c r="B1293" s="29"/>
      <c r="C1293" s="5" t="s">
        <v>14</v>
      </c>
      <c r="D1293" s="7">
        <v>348</v>
      </c>
      <c r="E1293" s="31">
        <v>24755</v>
      </c>
      <c r="F1293" s="29"/>
      <c r="G1293" s="32">
        <v>45600</v>
      </c>
      <c r="H1293" s="29"/>
      <c r="I1293" s="5" t="s">
        <v>84</v>
      </c>
      <c r="J1293" s="5" t="s">
        <v>85</v>
      </c>
      <c r="K1293" s="5" t="s">
        <v>70</v>
      </c>
    </row>
    <row r="1294" spans="1:11" ht="18.75" customHeight="1" x14ac:dyDescent="0.3">
      <c r="A1294" s="30">
        <v>1312</v>
      </c>
      <c r="B1294" s="29"/>
      <c r="C1294" s="5" t="s">
        <v>14</v>
      </c>
      <c r="D1294" s="7">
        <v>263</v>
      </c>
      <c r="E1294" s="31">
        <v>24767</v>
      </c>
      <c r="F1294" s="29"/>
      <c r="G1294" s="32">
        <v>45601</v>
      </c>
      <c r="H1294" s="29"/>
      <c r="I1294" s="5" t="s">
        <v>84</v>
      </c>
      <c r="J1294" s="5" t="s">
        <v>85</v>
      </c>
      <c r="K1294" s="5" t="s">
        <v>70</v>
      </c>
    </row>
    <row r="1295" spans="1:11" ht="18.75" customHeight="1" x14ac:dyDescent="0.3">
      <c r="A1295" s="30">
        <v>1313</v>
      </c>
      <c r="B1295" s="29"/>
      <c r="C1295" s="5" t="s">
        <v>14</v>
      </c>
      <c r="D1295" s="7">
        <v>181</v>
      </c>
      <c r="E1295" s="31">
        <v>24775</v>
      </c>
      <c r="F1295" s="29"/>
      <c r="G1295" s="32">
        <v>45602</v>
      </c>
      <c r="H1295" s="29"/>
      <c r="I1295" s="5" t="s">
        <v>84</v>
      </c>
      <c r="J1295" s="5" t="s">
        <v>85</v>
      </c>
      <c r="K1295" s="5" t="s">
        <v>70</v>
      </c>
    </row>
    <row r="1296" spans="1:11" ht="18.75" customHeight="1" x14ac:dyDescent="0.3">
      <c r="A1296" s="30">
        <v>1314</v>
      </c>
      <c r="B1296" s="29"/>
      <c r="C1296" s="5" t="s">
        <v>14</v>
      </c>
      <c r="D1296" s="7">
        <v>314</v>
      </c>
      <c r="E1296" s="31">
        <v>24785</v>
      </c>
      <c r="F1296" s="29"/>
      <c r="G1296" s="32">
        <v>45603</v>
      </c>
      <c r="H1296" s="29"/>
      <c r="I1296" s="5" t="s">
        <v>84</v>
      </c>
      <c r="J1296" s="5" t="s">
        <v>85</v>
      </c>
      <c r="K1296" s="5" t="s">
        <v>70</v>
      </c>
    </row>
    <row r="1297" spans="1:11" ht="18.75" customHeight="1" x14ac:dyDescent="0.3">
      <c r="A1297" s="30">
        <v>1315</v>
      </c>
      <c r="B1297" s="29"/>
      <c r="C1297" s="5" t="s">
        <v>14</v>
      </c>
      <c r="D1297" s="7">
        <v>193</v>
      </c>
      <c r="E1297" s="31">
        <v>24798</v>
      </c>
      <c r="F1297" s="29"/>
      <c r="G1297" s="32">
        <v>45604</v>
      </c>
      <c r="H1297" s="29"/>
      <c r="I1297" s="5" t="s">
        <v>84</v>
      </c>
      <c r="J1297" s="5" t="s">
        <v>85</v>
      </c>
      <c r="K1297" s="5" t="s">
        <v>70</v>
      </c>
    </row>
    <row r="1298" spans="1:11" ht="18.75" customHeight="1" x14ac:dyDescent="0.3">
      <c r="A1298" s="30">
        <v>1316</v>
      </c>
      <c r="B1298" s="29"/>
      <c r="C1298" s="5" t="s">
        <v>14</v>
      </c>
      <c r="D1298" s="7">
        <v>355</v>
      </c>
      <c r="E1298" s="31">
        <v>24810</v>
      </c>
      <c r="F1298" s="29"/>
      <c r="G1298" s="32">
        <v>45605</v>
      </c>
      <c r="H1298" s="29"/>
      <c r="I1298" s="5" t="s">
        <v>84</v>
      </c>
      <c r="J1298" s="5" t="s">
        <v>85</v>
      </c>
      <c r="K1298" s="5" t="s">
        <v>70</v>
      </c>
    </row>
    <row r="1299" spans="1:11" ht="18.75" customHeight="1" x14ac:dyDescent="0.3">
      <c r="A1299" s="30">
        <v>1317</v>
      </c>
      <c r="B1299" s="29"/>
      <c r="C1299" s="5" t="s">
        <v>40</v>
      </c>
      <c r="D1299" s="7">
        <v>500</v>
      </c>
      <c r="E1299" s="31">
        <v>137247</v>
      </c>
      <c r="F1299" s="29"/>
      <c r="G1299" s="32">
        <v>45600</v>
      </c>
      <c r="H1299" s="29"/>
      <c r="I1299" s="5" t="s">
        <v>15</v>
      </c>
      <c r="J1299" s="5" t="s">
        <v>30</v>
      </c>
      <c r="K1299" s="5"/>
    </row>
    <row r="1300" spans="1:11" ht="18.75" customHeight="1" x14ac:dyDescent="0.3">
      <c r="A1300" s="30">
        <v>1318</v>
      </c>
      <c r="B1300" s="29"/>
      <c r="C1300" s="5" t="s">
        <v>40</v>
      </c>
      <c r="D1300" s="7">
        <v>520</v>
      </c>
      <c r="E1300" s="31">
        <v>136373</v>
      </c>
      <c r="F1300" s="29"/>
      <c r="G1300" s="32">
        <v>45600</v>
      </c>
      <c r="H1300" s="29"/>
      <c r="I1300" s="5" t="s">
        <v>15</v>
      </c>
      <c r="J1300" s="5" t="s">
        <v>30</v>
      </c>
      <c r="K1300" s="5"/>
    </row>
    <row r="1301" spans="1:11" ht="18.75" customHeight="1" x14ac:dyDescent="0.3">
      <c r="A1301" s="30">
        <v>1319</v>
      </c>
      <c r="B1301" s="29"/>
      <c r="C1301" s="5" t="s">
        <v>40</v>
      </c>
      <c r="D1301" s="7">
        <v>490</v>
      </c>
      <c r="E1301" s="31">
        <v>136378</v>
      </c>
      <c r="F1301" s="29"/>
      <c r="G1301" s="32">
        <v>45601</v>
      </c>
      <c r="H1301" s="29"/>
      <c r="I1301" s="5" t="s">
        <v>15</v>
      </c>
      <c r="J1301" s="5" t="s">
        <v>30</v>
      </c>
      <c r="K1301" s="5"/>
    </row>
    <row r="1302" spans="1:11" ht="18.75" customHeight="1" x14ac:dyDescent="0.3">
      <c r="A1302" s="30">
        <v>1320</v>
      </c>
      <c r="B1302" s="29"/>
      <c r="C1302" s="5" t="s">
        <v>40</v>
      </c>
      <c r="D1302" s="7">
        <v>557</v>
      </c>
      <c r="E1302" s="31">
        <v>141562</v>
      </c>
      <c r="F1302" s="29"/>
      <c r="G1302" s="32">
        <v>45602</v>
      </c>
      <c r="H1302" s="29"/>
      <c r="I1302" s="5" t="s">
        <v>15</v>
      </c>
      <c r="J1302" s="5" t="s">
        <v>30</v>
      </c>
      <c r="K1302" s="5"/>
    </row>
    <row r="1303" spans="1:11" ht="18.75" customHeight="1" x14ac:dyDescent="0.3">
      <c r="A1303" s="30">
        <v>1321</v>
      </c>
      <c r="B1303" s="29"/>
      <c r="C1303" s="5" t="s">
        <v>40</v>
      </c>
      <c r="D1303" s="7">
        <v>520</v>
      </c>
      <c r="E1303" s="31">
        <v>136385</v>
      </c>
      <c r="F1303" s="29"/>
      <c r="G1303" s="32">
        <v>45602</v>
      </c>
      <c r="H1303" s="29"/>
      <c r="I1303" s="5" t="s">
        <v>15</v>
      </c>
      <c r="J1303" s="5" t="s">
        <v>30</v>
      </c>
      <c r="K1303" s="5"/>
    </row>
    <row r="1304" spans="1:11" ht="18.75" customHeight="1" x14ac:dyDescent="0.3">
      <c r="A1304" s="30">
        <v>1322</v>
      </c>
      <c r="B1304" s="29"/>
      <c r="C1304" s="5" t="s">
        <v>40</v>
      </c>
      <c r="D1304" s="7">
        <v>376</v>
      </c>
      <c r="E1304" s="31">
        <v>141805</v>
      </c>
      <c r="F1304" s="29"/>
      <c r="G1304" s="32">
        <v>45603</v>
      </c>
      <c r="H1304" s="29"/>
      <c r="I1304" s="5" t="s">
        <v>15</v>
      </c>
      <c r="J1304" s="5" t="s">
        <v>30</v>
      </c>
      <c r="K1304" s="5"/>
    </row>
    <row r="1305" spans="1:11" ht="18.75" customHeight="1" x14ac:dyDescent="0.3">
      <c r="A1305" s="30">
        <v>1323</v>
      </c>
      <c r="B1305" s="29"/>
      <c r="C1305" s="5" t="s">
        <v>40</v>
      </c>
      <c r="D1305" s="7">
        <v>450</v>
      </c>
      <c r="E1305" s="31">
        <v>136387</v>
      </c>
      <c r="F1305" s="29"/>
      <c r="G1305" s="32">
        <v>45603</v>
      </c>
      <c r="H1305" s="29"/>
      <c r="I1305" s="5" t="s">
        <v>15</v>
      </c>
      <c r="J1305" s="5" t="s">
        <v>30</v>
      </c>
      <c r="K1305" s="5"/>
    </row>
    <row r="1306" spans="1:11" ht="18.75" customHeight="1" x14ac:dyDescent="0.3">
      <c r="A1306" s="30">
        <v>1324</v>
      </c>
      <c r="B1306" s="29"/>
      <c r="C1306" s="5" t="s">
        <v>40</v>
      </c>
      <c r="D1306" s="7">
        <v>500</v>
      </c>
      <c r="E1306" s="31">
        <v>136392</v>
      </c>
      <c r="F1306" s="29"/>
      <c r="G1306" s="32">
        <v>45604</v>
      </c>
      <c r="H1306" s="29"/>
      <c r="I1306" s="5" t="s">
        <v>15</v>
      </c>
      <c r="J1306" s="5" t="s">
        <v>30</v>
      </c>
      <c r="K1306" s="5"/>
    </row>
    <row r="1307" spans="1:11" ht="18.75" customHeight="1" x14ac:dyDescent="0.3">
      <c r="A1307" s="30">
        <v>1325</v>
      </c>
      <c r="B1307" s="29"/>
      <c r="C1307" s="5" t="s">
        <v>40</v>
      </c>
      <c r="D1307" s="7">
        <v>328</v>
      </c>
      <c r="E1307" s="31">
        <v>136398</v>
      </c>
      <c r="F1307" s="29"/>
      <c r="G1307" s="32">
        <v>45604</v>
      </c>
      <c r="H1307" s="29"/>
      <c r="I1307" s="5" t="s">
        <v>15</v>
      </c>
      <c r="J1307" s="5" t="s">
        <v>30</v>
      </c>
      <c r="K1307" s="5"/>
    </row>
    <row r="1308" spans="1:11" ht="18.75" customHeight="1" x14ac:dyDescent="0.3">
      <c r="A1308" s="30">
        <v>1326</v>
      </c>
      <c r="B1308" s="29"/>
      <c r="C1308" s="5" t="s">
        <v>40</v>
      </c>
      <c r="D1308" s="7">
        <v>522</v>
      </c>
      <c r="E1308" s="31">
        <v>136248</v>
      </c>
      <c r="F1308" s="29"/>
      <c r="G1308" s="32">
        <v>45605</v>
      </c>
      <c r="H1308" s="29"/>
      <c r="I1308" s="5" t="s">
        <v>15</v>
      </c>
      <c r="J1308" s="5" t="s">
        <v>30</v>
      </c>
      <c r="K1308" s="5"/>
    </row>
    <row r="1309" spans="1:11" ht="18.75" customHeight="1" x14ac:dyDescent="0.3">
      <c r="A1309" s="30">
        <v>1327</v>
      </c>
      <c r="B1309" s="29"/>
      <c r="C1309" s="5" t="s">
        <v>40</v>
      </c>
      <c r="D1309" s="7">
        <v>450</v>
      </c>
      <c r="E1309" s="31">
        <v>136372</v>
      </c>
      <c r="F1309" s="29"/>
      <c r="G1309" s="32">
        <v>45600</v>
      </c>
      <c r="H1309" s="29"/>
      <c r="I1309" s="5" t="s">
        <v>28</v>
      </c>
      <c r="J1309" s="5" t="s">
        <v>66</v>
      </c>
      <c r="K1309" s="5"/>
    </row>
    <row r="1310" spans="1:11" ht="18.75" customHeight="1" x14ac:dyDescent="0.3">
      <c r="A1310" s="30">
        <v>1328</v>
      </c>
      <c r="B1310" s="29"/>
      <c r="C1310" s="5" t="s">
        <v>40</v>
      </c>
      <c r="D1310" s="7">
        <v>640</v>
      </c>
      <c r="E1310" s="31">
        <v>137250</v>
      </c>
      <c r="F1310" s="29"/>
      <c r="G1310" s="32">
        <v>45600</v>
      </c>
      <c r="H1310" s="29"/>
      <c r="I1310" s="5" t="s">
        <v>28</v>
      </c>
      <c r="J1310" s="5" t="s">
        <v>66</v>
      </c>
      <c r="K1310" s="5"/>
    </row>
    <row r="1311" spans="1:11" ht="18.75" customHeight="1" x14ac:dyDescent="0.3">
      <c r="A1311" s="30">
        <v>1329</v>
      </c>
      <c r="B1311" s="29"/>
      <c r="C1311" s="5" t="s">
        <v>40</v>
      </c>
      <c r="D1311" s="7">
        <v>360</v>
      </c>
      <c r="E1311" s="31">
        <v>136234</v>
      </c>
      <c r="F1311" s="29"/>
      <c r="G1311" s="32">
        <v>45601</v>
      </c>
      <c r="H1311" s="29"/>
      <c r="I1311" s="5" t="s">
        <v>28</v>
      </c>
      <c r="J1311" s="5" t="s">
        <v>66</v>
      </c>
      <c r="K1311" s="5"/>
    </row>
    <row r="1312" spans="1:11" ht="18.75" customHeight="1" x14ac:dyDescent="0.3">
      <c r="A1312" s="30">
        <v>1330</v>
      </c>
      <c r="B1312" s="29"/>
      <c r="C1312" s="5" t="s">
        <v>40</v>
      </c>
      <c r="D1312" s="7">
        <v>495</v>
      </c>
      <c r="E1312" s="31">
        <v>141560</v>
      </c>
      <c r="F1312" s="29"/>
      <c r="G1312" s="32">
        <v>45601</v>
      </c>
      <c r="H1312" s="29"/>
      <c r="I1312" s="5" t="s">
        <v>28</v>
      </c>
      <c r="J1312" s="5" t="s">
        <v>66</v>
      </c>
      <c r="K1312" s="5"/>
    </row>
    <row r="1313" spans="1:11" ht="18.75" customHeight="1" x14ac:dyDescent="0.3">
      <c r="A1313" s="30">
        <v>1331</v>
      </c>
      <c r="B1313" s="29"/>
      <c r="C1313" s="5" t="s">
        <v>40</v>
      </c>
      <c r="D1313" s="7">
        <v>442</v>
      </c>
      <c r="E1313" s="31">
        <v>136383</v>
      </c>
      <c r="F1313" s="29"/>
      <c r="G1313" s="32">
        <v>45602</v>
      </c>
      <c r="H1313" s="29"/>
      <c r="I1313" s="5" t="s">
        <v>28</v>
      </c>
      <c r="J1313" s="5" t="s">
        <v>66</v>
      </c>
      <c r="K1313" s="5"/>
    </row>
    <row r="1314" spans="1:11" ht="18.75" customHeight="1" x14ac:dyDescent="0.3">
      <c r="A1314" s="30">
        <v>1332</v>
      </c>
      <c r="B1314" s="29"/>
      <c r="C1314" s="5" t="s">
        <v>40</v>
      </c>
      <c r="D1314" s="7">
        <v>490</v>
      </c>
      <c r="E1314" s="31">
        <v>136380</v>
      </c>
      <c r="F1314" s="29"/>
      <c r="G1314" s="32">
        <v>45602</v>
      </c>
      <c r="H1314" s="29"/>
      <c r="I1314" s="5" t="s">
        <v>28</v>
      </c>
      <c r="J1314" s="5" t="s">
        <v>66</v>
      </c>
      <c r="K1314" s="5"/>
    </row>
    <row r="1315" spans="1:11" ht="18.75" customHeight="1" x14ac:dyDescent="0.3">
      <c r="A1315" s="30">
        <v>1333</v>
      </c>
      <c r="B1315" s="29"/>
      <c r="C1315" s="5" t="s">
        <v>40</v>
      </c>
      <c r="D1315" s="7">
        <v>520</v>
      </c>
      <c r="E1315" s="31">
        <v>136388</v>
      </c>
      <c r="F1315" s="29"/>
      <c r="G1315" s="32">
        <v>45603</v>
      </c>
      <c r="H1315" s="29"/>
      <c r="I1315" s="5" t="s">
        <v>28</v>
      </c>
      <c r="J1315" s="5" t="s">
        <v>66</v>
      </c>
      <c r="K1315" s="5"/>
    </row>
    <row r="1316" spans="1:11" ht="18.75" customHeight="1" x14ac:dyDescent="0.3">
      <c r="A1316" s="30">
        <v>1334</v>
      </c>
      <c r="B1316" s="29"/>
      <c r="C1316" s="5" t="s">
        <v>40</v>
      </c>
      <c r="D1316" s="7">
        <v>288</v>
      </c>
      <c r="E1316" s="31">
        <v>141811</v>
      </c>
      <c r="F1316" s="29"/>
      <c r="G1316" s="32">
        <v>45604</v>
      </c>
      <c r="H1316" s="29"/>
      <c r="I1316" s="5" t="s">
        <v>28</v>
      </c>
      <c r="J1316" s="5" t="s">
        <v>66</v>
      </c>
      <c r="K1316" s="5"/>
    </row>
    <row r="1317" spans="1:11" ht="18.75" customHeight="1" x14ac:dyDescent="0.3">
      <c r="A1317" s="30">
        <v>1335</v>
      </c>
      <c r="B1317" s="29"/>
      <c r="C1317" s="5" t="s">
        <v>40</v>
      </c>
      <c r="D1317" s="7">
        <v>350</v>
      </c>
      <c r="E1317" s="31">
        <v>136397</v>
      </c>
      <c r="F1317" s="29"/>
      <c r="G1317" s="32">
        <v>45604</v>
      </c>
      <c r="H1317" s="29"/>
      <c r="I1317" s="5" t="s">
        <v>28</v>
      </c>
      <c r="J1317" s="5" t="s">
        <v>66</v>
      </c>
      <c r="K1317" s="5"/>
    </row>
    <row r="1318" spans="1:11" ht="18.75" customHeight="1" x14ac:dyDescent="0.3">
      <c r="A1318" s="30">
        <v>1336</v>
      </c>
      <c r="B1318" s="29"/>
      <c r="C1318" s="5" t="s">
        <v>40</v>
      </c>
      <c r="D1318" s="7">
        <v>525</v>
      </c>
      <c r="E1318" s="31">
        <v>136403</v>
      </c>
      <c r="F1318" s="29"/>
      <c r="G1318" s="32">
        <v>45605</v>
      </c>
      <c r="H1318" s="29"/>
      <c r="I1318" s="5" t="s">
        <v>28</v>
      </c>
      <c r="J1318" s="5" t="s">
        <v>66</v>
      </c>
      <c r="K1318" s="5"/>
    </row>
    <row r="1319" spans="1:11" ht="18.75" customHeight="1" x14ac:dyDescent="0.3">
      <c r="A1319" s="30">
        <v>1337</v>
      </c>
      <c r="B1319" s="29"/>
      <c r="C1319" s="5" t="s">
        <v>14</v>
      </c>
      <c r="D1319" s="7">
        <v>209</v>
      </c>
      <c r="E1319" s="31">
        <v>24860</v>
      </c>
      <c r="F1319" s="29"/>
      <c r="G1319" s="32">
        <v>45607</v>
      </c>
      <c r="H1319" s="29"/>
      <c r="I1319" s="5" t="s">
        <v>84</v>
      </c>
      <c r="J1319" s="5" t="s">
        <v>85</v>
      </c>
      <c r="K1319" s="5" t="s">
        <v>70</v>
      </c>
    </row>
    <row r="1320" spans="1:11" ht="18.75" customHeight="1" x14ac:dyDescent="0.3">
      <c r="A1320" s="30">
        <v>1338</v>
      </c>
      <c r="B1320" s="29"/>
      <c r="C1320" s="5" t="s">
        <v>14</v>
      </c>
      <c r="D1320" s="7">
        <v>324</v>
      </c>
      <c r="E1320" s="31">
        <v>24870</v>
      </c>
      <c r="F1320" s="29"/>
      <c r="G1320" s="32">
        <v>45608</v>
      </c>
      <c r="H1320" s="29"/>
      <c r="I1320" s="5" t="s">
        <v>84</v>
      </c>
      <c r="J1320" s="5" t="s">
        <v>85</v>
      </c>
      <c r="K1320" s="5" t="s">
        <v>70</v>
      </c>
    </row>
    <row r="1321" spans="1:11" ht="18.75" customHeight="1" x14ac:dyDescent="0.3">
      <c r="A1321" s="30">
        <v>1339</v>
      </c>
      <c r="B1321" s="29"/>
      <c r="C1321" s="5" t="s">
        <v>14</v>
      </c>
      <c r="D1321" s="7">
        <v>420</v>
      </c>
      <c r="E1321" s="31">
        <v>24880</v>
      </c>
      <c r="F1321" s="29"/>
      <c r="G1321" s="32">
        <v>45609</v>
      </c>
      <c r="H1321" s="29"/>
      <c r="I1321" s="5" t="s">
        <v>84</v>
      </c>
      <c r="J1321" s="5" t="s">
        <v>85</v>
      </c>
      <c r="K1321" s="5" t="s">
        <v>70</v>
      </c>
    </row>
    <row r="1322" spans="1:11" ht="18.75" customHeight="1" x14ac:dyDescent="0.3">
      <c r="A1322" s="30">
        <v>1340</v>
      </c>
      <c r="B1322" s="29"/>
      <c r="C1322" s="5" t="s">
        <v>14</v>
      </c>
      <c r="D1322" s="7">
        <v>201</v>
      </c>
      <c r="E1322" s="31">
        <v>24893</v>
      </c>
      <c r="F1322" s="29"/>
      <c r="G1322" s="32">
        <v>45610</v>
      </c>
      <c r="H1322" s="29"/>
      <c r="I1322" s="5" t="s">
        <v>84</v>
      </c>
      <c r="J1322" s="5" t="s">
        <v>85</v>
      </c>
      <c r="K1322" s="5" t="s">
        <v>70</v>
      </c>
    </row>
    <row r="1323" spans="1:11" ht="18.75" customHeight="1" x14ac:dyDescent="0.3">
      <c r="A1323" s="30">
        <v>1341</v>
      </c>
      <c r="B1323" s="29"/>
      <c r="C1323" s="5" t="s">
        <v>14</v>
      </c>
      <c r="D1323" s="7">
        <v>161</v>
      </c>
      <c r="E1323" s="31">
        <v>24903</v>
      </c>
      <c r="F1323" s="29"/>
      <c r="G1323" s="32">
        <v>45611</v>
      </c>
      <c r="H1323" s="29"/>
      <c r="I1323" s="5" t="s">
        <v>84</v>
      </c>
      <c r="J1323" s="5" t="s">
        <v>85</v>
      </c>
      <c r="K1323" s="5" t="s">
        <v>70</v>
      </c>
    </row>
    <row r="1324" spans="1:11" ht="18.75" customHeight="1" x14ac:dyDescent="0.3">
      <c r="A1324" s="30">
        <v>1342</v>
      </c>
      <c r="B1324" s="29"/>
      <c r="C1324" s="5" t="s">
        <v>14</v>
      </c>
      <c r="D1324" s="7">
        <v>266</v>
      </c>
      <c r="E1324" s="31">
        <v>24915</v>
      </c>
      <c r="F1324" s="29"/>
      <c r="G1324" s="32">
        <v>45612</v>
      </c>
      <c r="H1324" s="29"/>
      <c r="I1324" s="5" t="s">
        <v>84</v>
      </c>
      <c r="J1324" s="5" t="s">
        <v>85</v>
      </c>
      <c r="K1324" s="5" t="s">
        <v>70</v>
      </c>
    </row>
    <row r="1325" spans="1:11" ht="18.75" customHeight="1" x14ac:dyDescent="0.3">
      <c r="A1325" s="30">
        <v>1343</v>
      </c>
      <c r="B1325" s="29"/>
      <c r="C1325" s="5" t="s">
        <v>40</v>
      </c>
      <c r="D1325" s="7">
        <v>490</v>
      </c>
      <c r="E1325" s="31">
        <v>136409</v>
      </c>
      <c r="F1325" s="29"/>
      <c r="G1325" s="32">
        <v>45607</v>
      </c>
      <c r="H1325" s="29"/>
      <c r="I1325" s="5" t="s">
        <v>15</v>
      </c>
      <c r="J1325" s="5" t="s">
        <v>30</v>
      </c>
      <c r="K1325" s="5"/>
    </row>
    <row r="1326" spans="1:11" ht="18.75" customHeight="1" x14ac:dyDescent="0.3">
      <c r="A1326" s="30">
        <v>1344</v>
      </c>
      <c r="B1326" s="29"/>
      <c r="C1326" s="5" t="s">
        <v>40</v>
      </c>
      <c r="D1326" s="7">
        <v>400</v>
      </c>
      <c r="E1326" s="31">
        <v>138755</v>
      </c>
      <c r="F1326" s="29"/>
      <c r="G1326" s="32">
        <v>45607</v>
      </c>
      <c r="H1326" s="29"/>
      <c r="I1326" s="5" t="s">
        <v>15</v>
      </c>
      <c r="J1326" s="5" t="s">
        <v>30</v>
      </c>
      <c r="K1326" s="5"/>
    </row>
    <row r="1327" spans="1:11" ht="18.75" customHeight="1" x14ac:dyDescent="0.3">
      <c r="A1327" s="30">
        <v>1345</v>
      </c>
      <c r="B1327" s="29"/>
      <c r="C1327" s="5" t="s">
        <v>40</v>
      </c>
      <c r="D1327" s="7">
        <v>490</v>
      </c>
      <c r="E1327" s="31">
        <v>136414</v>
      </c>
      <c r="F1327" s="29"/>
      <c r="G1327" s="32">
        <v>45608</v>
      </c>
      <c r="H1327" s="29"/>
      <c r="I1327" s="5" t="s">
        <v>15</v>
      </c>
      <c r="J1327" s="5" t="s">
        <v>30</v>
      </c>
      <c r="K1327" s="5"/>
    </row>
    <row r="1328" spans="1:11" ht="18.75" customHeight="1" x14ac:dyDescent="0.3">
      <c r="A1328" s="30">
        <v>1346</v>
      </c>
      <c r="B1328" s="29"/>
      <c r="C1328" s="5" t="s">
        <v>40</v>
      </c>
      <c r="D1328" s="7">
        <v>440</v>
      </c>
      <c r="E1328" s="31">
        <v>136425</v>
      </c>
      <c r="F1328" s="29"/>
      <c r="G1328" s="32">
        <v>45609</v>
      </c>
      <c r="H1328" s="29"/>
      <c r="I1328" s="5" t="s">
        <v>15</v>
      </c>
      <c r="J1328" s="5" t="s">
        <v>30</v>
      </c>
      <c r="K1328" s="5"/>
    </row>
    <row r="1329" spans="1:11" ht="18.75" customHeight="1" x14ac:dyDescent="0.3">
      <c r="A1329" s="30">
        <v>1347</v>
      </c>
      <c r="B1329" s="29"/>
      <c r="C1329" s="5" t="s">
        <v>40</v>
      </c>
      <c r="D1329" s="7">
        <v>525</v>
      </c>
      <c r="E1329" s="31">
        <v>136428</v>
      </c>
      <c r="F1329" s="29"/>
      <c r="G1329" s="32">
        <v>45610</v>
      </c>
      <c r="H1329" s="29"/>
      <c r="I1329" s="5" t="s">
        <v>15</v>
      </c>
      <c r="J1329" s="5" t="s">
        <v>30</v>
      </c>
      <c r="K1329" s="5"/>
    </row>
    <row r="1330" spans="1:11" ht="18.75" customHeight="1" x14ac:dyDescent="0.3">
      <c r="A1330" s="30">
        <v>1348</v>
      </c>
      <c r="B1330" s="29"/>
      <c r="C1330" s="5" t="s">
        <v>40</v>
      </c>
      <c r="D1330" s="7">
        <v>523</v>
      </c>
      <c r="E1330" s="31">
        <v>136433</v>
      </c>
      <c r="F1330" s="29"/>
      <c r="G1330" s="32">
        <v>45610</v>
      </c>
      <c r="H1330" s="29"/>
      <c r="I1330" s="5" t="s">
        <v>15</v>
      </c>
      <c r="J1330" s="5" t="s">
        <v>30</v>
      </c>
      <c r="K1330" s="5"/>
    </row>
    <row r="1331" spans="1:11" ht="18.75" customHeight="1" x14ac:dyDescent="0.3">
      <c r="A1331" s="30">
        <v>1349</v>
      </c>
      <c r="B1331" s="29"/>
      <c r="C1331" s="5" t="s">
        <v>40</v>
      </c>
      <c r="D1331" s="7">
        <v>288</v>
      </c>
      <c r="E1331" s="31">
        <v>141827</v>
      </c>
      <c r="F1331" s="29"/>
      <c r="G1331" s="32">
        <v>45611</v>
      </c>
      <c r="H1331" s="29"/>
      <c r="I1331" s="5" t="s">
        <v>15</v>
      </c>
      <c r="J1331" s="5" t="s">
        <v>30</v>
      </c>
      <c r="K1331" s="5"/>
    </row>
    <row r="1332" spans="1:11" ht="18.75" customHeight="1" x14ac:dyDescent="0.3">
      <c r="A1332" s="30">
        <v>1350</v>
      </c>
      <c r="B1332" s="29"/>
      <c r="C1332" s="5" t="s">
        <v>40</v>
      </c>
      <c r="D1332" s="7">
        <v>487</v>
      </c>
      <c r="E1332" s="31">
        <v>136442</v>
      </c>
      <c r="F1332" s="29"/>
      <c r="G1332" s="32">
        <v>45612</v>
      </c>
      <c r="H1332" s="29"/>
      <c r="I1332" s="5" t="s">
        <v>15</v>
      </c>
      <c r="J1332" s="5" t="s">
        <v>30</v>
      </c>
      <c r="K1332" s="5"/>
    </row>
    <row r="1333" spans="1:11" ht="18.75" customHeight="1" x14ac:dyDescent="0.3">
      <c r="A1333" s="30">
        <v>1351</v>
      </c>
      <c r="B1333" s="29"/>
      <c r="C1333" s="5" t="s">
        <v>40</v>
      </c>
      <c r="D1333" s="7">
        <v>490</v>
      </c>
      <c r="E1333" s="31">
        <v>136413</v>
      </c>
      <c r="F1333" s="29"/>
      <c r="G1333" s="32">
        <v>45607</v>
      </c>
      <c r="H1333" s="29"/>
      <c r="I1333" s="5" t="s">
        <v>28</v>
      </c>
      <c r="J1333" s="5" t="s">
        <v>66</v>
      </c>
      <c r="K1333" s="5"/>
    </row>
    <row r="1334" spans="1:11" ht="18.75" customHeight="1" x14ac:dyDescent="0.3">
      <c r="A1334" s="30">
        <v>1352</v>
      </c>
      <c r="B1334" s="29"/>
      <c r="C1334" s="5" t="s">
        <v>40</v>
      </c>
      <c r="D1334" s="7">
        <v>400</v>
      </c>
      <c r="E1334" s="31">
        <v>68336</v>
      </c>
      <c r="F1334" s="29"/>
      <c r="G1334" s="32">
        <v>45607</v>
      </c>
      <c r="H1334" s="29"/>
      <c r="I1334" s="5" t="s">
        <v>28</v>
      </c>
      <c r="J1334" s="5" t="s">
        <v>66</v>
      </c>
      <c r="K1334" s="5"/>
    </row>
    <row r="1335" spans="1:11" ht="18.75" customHeight="1" x14ac:dyDescent="0.3">
      <c r="A1335" s="30">
        <v>1353</v>
      </c>
      <c r="B1335" s="29"/>
      <c r="C1335" s="5" t="s">
        <v>40</v>
      </c>
      <c r="D1335" s="7">
        <v>490</v>
      </c>
      <c r="E1335" s="31">
        <v>136415</v>
      </c>
      <c r="F1335" s="29"/>
      <c r="G1335" s="32">
        <v>45608</v>
      </c>
      <c r="H1335" s="29"/>
      <c r="I1335" s="5" t="s">
        <v>28</v>
      </c>
      <c r="J1335" s="5" t="s">
        <v>66</v>
      </c>
      <c r="K1335" s="5"/>
    </row>
    <row r="1336" spans="1:11" ht="18.75" customHeight="1" x14ac:dyDescent="0.3">
      <c r="A1336" s="30">
        <v>1354</v>
      </c>
      <c r="B1336" s="29"/>
      <c r="C1336" s="5" t="s">
        <v>40</v>
      </c>
      <c r="D1336" s="7">
        <v>520</v>
      </c>
      <c r="E1336" s="31">
        <v>136240</v>
      </c>
      <c r="F1336" s="29"/>
      <c r="G1336" s="32">
        <v>45609</v>
      </c>
      <c r="H1336" s="29"/>
      <c r="I1336" s="5" t="s">
        <v>28</v>
      </c>
      <c r="J1336" s="5" t="s">
        <v>66</v>
      </c>
      <c r="K1336" s="5"/>
    </row>
    <row r="1337" spans="1:11" ht="18.75" customHeight="1" x14ac:dyDescent="0.3">
      <c r="A1337" s="30">
        <v>1355</v>
      </c>
      <c r="B1337" s="29"/>
      <c r="C1337" s="5" t="s">
        <v>40</v>
      </c>
      <c r="D1337" s="7">
        <v>351</v>
      </c>
      <c r="E1337" s="31">
        <v>138758</v>
      </c>
      <c r="F1337" s="29"/>
      <c r="G1337" s="32">
        <v>45609</v>
      </c>
      <c r="H1337" s="29"/>
      <c r="I1337" s="5" t="s">
        <v>28</v>
      </c>
      <c r="J1337" s="5" t="s">
        <v>66</v>
      </c>
      <c r="K1337" s="5"/>
    </row>
    <row r="1338" spans="1:11" ht="18.75" customHeight="1" x14ac:dyDescent="0.3">
      <c r="A1338" s="30">
        <v>1356</v>
      </c>
      <c r="B1338" s="29"/>
      <c r="C1338" s="5" t="s">
        <v>40</v>
      </c>
      <c r="D1338" s="7">
        <v>472</v>
      </c>
      <c r="E1338" s="31">
        <v>136430</v>
      </c>
      <c r="F1338" s="29"/>
      <c r="G1338" s="32">
        <v>45610</v>
      </c>
      <c r="H1338" s="29"/>
      <c r="I1338" s="5" t="s">
        <v>28</v>
      </c>
      <c r="J1338" s="5" t="s">
        <v>66</v>
      </c>
      <c r="K1338" s="5"/>
    </row>
    <row r="1339" spans="1:11" ht="18.75" customHeight="1" x14ac:dyDescent="0.3">
      <c r="A1339" s="30">
        <v>1357</v>
      </c>
      <c r="B1339" s="29"/>
      <c r="C1339" s="5" t="s">
        <v>40</v>
      </c>
      <c r="D1339" s="7">
        <v>658</v>
      </c>
      <c r="E1339" s="31">
        <v>136437</v>
      </c>
      <c r="F1339" s="29"/>
      <c r="G1339" s="32">
        <v>45611</v>
      </c>
      <c r="H1339" s="29"/>
      <c r="I1339" s="5" t="s">
        <v>28</v>
      </c>
      <c r="J1339" s="5" t="s">
        <v>66</v>
      </c>
      <c r="K1339" s="5"/>
    </row>
    <row r="1340" spans="1:11" ht="18.75" customHeight="1" x14ac:dyDescent="0.3">
      <c r="A1340" s="30">
        <v>1358</v>
      </c>
      <c r="B1340" s="29"/>
      <c r="C1340" s="5" t="s">
        <v>40</v>
      </c>
      <c r="D1340" s="7">
        <v>368</v>
      </c>
      <c r="E1340" s="31">
        <v>141833</v>
      </c>
      <c r="F1340" s="29"/>
      <c r="G1340" s="32">
        <v>45612</v>
      </c>
      <c r="H1340" s="29"/>
      <c r="I1340" s="5" t="s">
        <v>28</v>
      </c>
      <c r="J1340" s="5" t="s">
        <v>66</v>
      </c>
      <c r="K1340" s="5"/>
    </row>
    <row r="1341" spans="1:11" ht="18.75" customHeight="1" x14ac:dyDescent="0.3">
      <c r="A1341" s="30">
        <v>1359</v>
      </c>
      <c r="B1341" s="29"/>
      <c r="C1341" s="5" t="s">
        <v>14</v>
      </c>
      <c r="D1341" s="7">
        <v>212</v>
      </c>
      <c r="E1341" s="31">
        <v>25022</v>
      </c>
      <c r="F1341" s="29"/>
      <c r="G1341" s="32">
        <v>45616</v>
      </c>
      <c r="H1341" s="29"/>
      <c r="I1341" s="5" t="s">
        <v>86</v>
      </c>
      <c r="J1341" s="5" t="s">
        <v>16</v>
      </c>
      <c r="K1341" s="5" t="s">
        <v>70</v>
      </c>
    </row>
    <row r="1342" spans="1:11" ht="18.75" customHeight="1" x14ac:dyDescent="0.3">
      <c r="A1342" s="30">
        <v>1360</v>
      </c>
      <c r="B1342" s="29"/>
      <c r="C1342" s="5" t="s">
        <v>14</v>
      </c>
      <c r="D1342" s="7">
        <v>254</v>
      </c>
      <c r="E1342" s="31">
        <v>25035</v>
      </c>
      <c r="F1342" s="29"/>
      <c r="G1342" s="32">
        <v>45617</v>
      </c>
      <c r="H1342" s="29"/>
      <c r="I1342" s="5" t="s">
        <v>86</v>
      </c>
      <c r="J1342" s="5" t="s">
        <v>16</v>
      </c>
      <c r="K1342" s="5" t="s">
        <v>70</v>
      </c>
    </row>
    <row r="1343" spans="1:11" ht="18.75" customHeight="1" x14ac:dyDescent="0.3">
      <c r="A1343" s="30">
        <v>1361</v>
      </c>
      <c r="B1343" s="29"/>
      <c r="C1343" s="5" t="s">
        <v>14</v>
      </c>
      <c r="D1343" s="7">
        <v>391</v>
      </c>
      <c r="E1343" s="31">
        <v>25048</v>
      </c>
      <c r="F1343" s="29"/>
      <c r="G1343" s="32">
        <v>45618</v>
      </c>
      <c r="H1343" s="29"/>
      <c r="I1343" s="5" t="s">
        <v>86</v>
      </c>
      <c r="J1343" s="5" t="s">
        <v>16</v>
      </c>
      <c r="K1343" s="5" t="s">
        <v>70</v>
      </c>
    </row>
    <row r="1344" spans="1:11" ht="18.75" customHeight="1" x14ac:dyDescent="0.3">
      <c r="A1344" s="30">
        <v>1362</v>
      </c>
      <c r="B1344" s="29"/>
      <c r="C1344" s="5" t="s">
        <v>14</v>
      </c>
      <c r="D1344" s="7">
        <v>247</v>
      </c>
      <c r="E1344" s="31">
        <v>25055</v>
      </c>
      <c r="F1344" s="29"/>
      <c r="G1344" s="32">
        <v>45619</v>
      </c>
      <c r="H1344" s="29"/>
      <c r="I1344" s="5" t="s">
        <v>86</v>
      </c>
      <c r="J1344" s="5" t="s">
        <v>16</v>
      </c>
      <c r="K1344" s="5" t="s">
        <v>70</v>
      </c>
    </row>
    <row r="1345" spans="1:11" ht="18.75" customHeight="1" x14ac:dyDescent="0.3">
      <c r="A1345" s="30">
        <v>1363</v>
      </c>
      <c r="B1345" s="29"/>
      <c r="C1345" s="5" t="s">
        <v>14</v>
      </c>
      <c r="D1345" s="7">
        <v>303</v>
      </c>
      <c r="E1345" s="31">
        <v>121029</v>
      </c>
      <c r="F1345" s="29"/>
      <c r="G1345" s="32">
        <v>45614</v>
      </c>
      <c r="H1345" s="29"/>
      <c r="I1345" s="5" t="s">
        <v>86</v>
      </c>
      <c r="J1345" s="5" t="s">
        <v>16</v>
      </c>
      <c r="K1345" s="5" t="s">
        <v>70</v>
      </c>
    </row>
    <row r="1346" spans="1:11" ht="18.75" customHeight="1" x14ac:dyDescent="0.3">
      <c r="A1346" s="30">
        <v>1364</v>
      </c>
      <c r="B1346" s="29"/>
      <c r="C1346" s="5" t="s">
        <v>14</v>
      </c>
      <c r="D1346" s="7">
        <v>269</v>
      </c>
      <c r="E1346" s="31">
        <v>25017</v>
      </c>
      <c r="F1346" s="29"/>
      <c r="G1346" s="32">
        <v>45615</v>
      </c>
      <c r="H1346" s="29"/>
      <c r="I1346" s="5" t="s">
        <v>84</v>
      </c>
      <c r="J1346" s="5" t="s">
        <v>85</v>
      </c>
      <c r="K1346" s="5" t="s">
        <v>17</v>
      </c>
    </row>
    <row r="1347" spans="1:11" ht="18.75" customHeight="1" x14ac:dyDescent="0.3">
      <c r="A1347" s="30">
        <v>1365</v>
      </c>
      <c r="B1347" s="29"/>
      <c r="C1347" s="5" t="s">
        <v>14</v>
      </c>
      <c r="D1347" s="7">
        <v>306</v>
      </c>
      <c r="E1347" s="31">
        <v>25023</v>
      </c>
      <c r="F1347" s="29"/>
      <c r="G1347" s="32">
        <v>45616</v>
      </c>
      <c r="H1347" s="29"/>
      <c r="I1347" s="5" t="s">
        <v>84</v>
      </c>
      <c r="J1347" s="5" t="s">
        <v>85</v>
      </c>
      <c r="K1347" s="5" t="s">
        <v>17</v>
      </c>
    </row>
    <row r="1348" spans="1:11" ht="18.75" customHeight="1" x14ac:dyDescent="0.3">
      <c r="A1348" s="30">
        <v>1366</v>
      </c>
      <c r="B1348" s="29"/>
      <c r="C1348" s="5" t="s">
        <v>14</v>
      </c>
      <c r="D1348" s="7">
        <v>243</v>
      </c>
      <c r="E1348" s="31">
        <v>25033</v>
      </c>
      <c r="F1348" s="29"/>
      <c r="G1348" s="32">
        <v>45617</v>
      </c>
      <c r="H1348" s="29"/>
      <c r="I1348" s="5" t="s">
        <v>84</v>
      </c>
      <c r="J1348" s="5" t="s">
        <v>85</v>
      </c>
      <c r="K1348" s="5" t="s">
        <v>17</v>
      </c>
    </row>
    <row r="1349" spans="1:11" ht="18.75" customHeight="1" x14ac:dyDescent="0.3">
      <c r="A1349" s="30">
        <v>1367</v>
      </c>
      <c r="B1349" s="29"/>
      <c r="C1349" s="5" t="s">
        <v>14</v>
      </c>
      <c r="D1349" s="7">
        <v>268</v>
      </c>
      <c r="E1349" s="31">
        <v>25043</v>
      </c>
      <c r="F1349" s="29"/>
      <c r="G1349" s="32">
        <v>45618</v>
      </c>
      <c r="H1349" s="29"/>
      <c r="I1349" s="5" t="s">
        <v>84</v>
      </c>
      <c r="J1349" s="5" t="s">
        <v>85</v>
      </c>
      <c r="K1349" s="5" t="s">
        <v>17</v>
      </c>
    </row>
    <row r="1350" spans="1:11" ht="18.75" customHeight="1" x14ac:dyDescent="0.3">
      <c r="A1350" s="30">
        <v>1368</v>
      </c>
      <c r="B1350" s="29"/>
      <c r="C1350" s="5" t="s">
        <v>14</v>
      </c>
      <c r="D1350" s="7">
        <v>269</v>
      </c>
      <c r="E1350" s="31">
        <v>25054</v>
      </c>
      <c r="F1350" s="29"/>
      <c r="G1350" s="32">
        <v>45619</v>
      </c>
      <c r="H1350" s="29"/>
      <c r="I1350" s="5" t="s">
        <v>84</v>
      </c>
      <c r="J1350" s="5" t="s">
        <v>85</v>
      </c>
      <c r="K1350" s="5" t="s">
        <v>17</v>
      </c>
    </row>
    <row r="1351" spans="1:11" ht="18.75" customHeight="1" x14ac:dyDescent="0.3">
      <c r="A1351" s="30">
        <v>1369</v>
      </c>
      <c r="B1351" s="29"/>
      <c r="C1351" s="5" t="s">
        <v>40</v>
      </c>
      <c r="D1351" s="7">
        <v>280</v>
      </c>
      <c r="E1351" s="31">
        <v>141838</v>
      </c>
      <c r="F1351" s="29"/>
      <c r="G1351" s="32">
        <v>45614</v>
      </c>
      <c r="H1351" s="29"/>
      <c r="I1351" s="5" t="s">
        <v>15</v>
      </c>
      <c r="J1351" s="5" t="s">
        <v>30</v>
      </c>
      <c r="K1351" s="5"/>
    </row>
    <row r="1352" spans="1:11" ht="18.75" customHeight="1" x14ac:dyDescent="0.3">
      <c r="A1352" s="30">
        <v>1370</v>
      </c>
      <c r="B1352" s="29"/>
      <c r="C1352" s="5" t="s">
        <v>40</v>
      </c>
      <c r="D1352" s="7">
        <v>520</v>
      </c>
      <c r="E1352" s="31">
        <v>136452</v>
      </c>
      <c r="F1352" s="29"/>
      <c r="G1352" s="32">
        <v>45615</v>
      </c>
      <c r="H1352" s="29"/>
      <c r="I1352" s="5" t="s">
        <v>15</v>
      </c>
      <c r="J1352" s="5" t="s">
        <v>30</v>
      </c>
      <c r="K1352" s="5"/>
    </row>
    <row r="1353" spans="1:11" ht="18.75" customHeight="1" x14ac:dyDescent="0.3">
      <c r="A1353" s="30">
        <v>1371</v>
      </c>
      <c r="B1353" s="29"/>
      <c r="C1353" s="5" t="s">
        <v>40</v>
      </c>
      <c r="D1353" s="7">
        <v>400</v>
      </c>
      <c r="E1353" s="31">
        <v>136457</v>
      </c>
      <c r="F1353" s="29"/>
      <c r="G1353" s="32">
        <v>45616</v>
      </c>
      <c r="H1353" s="29"/>
      <c r="I1353" s="5" t="s">
        <v>15</v>
      </c>
      <c r="J1353" s="5" t="s">
        <v>30</v>
      </c>
      <c r="K1353" s="5"/>
    </row>
    <row r="1354" spans="1:11" ht="18.75" customHeight="1" x14ac:dyDescent="0.3">
      <c r="A1354" s="30">
        <v>1372</v>
      </c>
      <c r="B1354" s="29"/>
      <c r="C1354" s="5" t="s">
        <v>40</v>
      </c>
      <c r="D1354" s="7">
        <v>645</v>
      </c>
      <c r="E1354" s="31">
        <v>136452</v>
      </c>
      <c r="F1354" s="29"/>
      <c r="G1354" s="32">
        <v>45617</v>
      </c>
      <c r="H1354" s="29"/>
      <c r="I1354" s="5" t="s">
        <v>15</v>
      </c>
      <c r="J1354" s="5" t="s">
        <v>30</v>
      </c>
      <c r="K1354" s="5"/>
    </row>
    <row r="1355" spans="1:11" ht="18.75" customHeight="1" x14ac:dyDescent="0.3">
      <c r="A1355" s="30">
        <v>1373</v>
      </c>
      <c r="B1355" s="29"/>
      <c r="C1355" s="5" t="s">
        <v>40</v>
      </c>
      <c r="D1355" s="7">
        <v>473</v>
      </c>
      <c r="E1355" s="31">
        <v>136470</v>
      </c>
      <c r="F1355" s="29"/>
      <c r="G1355" s="32">
        <v>45618</v>
      </c>
      <c r="H1355" s="29"/>
      <c r="I1355" s="5" t="s">
        <v>15</v>
      </c>
      <c r="J1355" s="5" t="s">
        <v>30</v>
      </c>
      <c r="K1355" s="5"/>
    </row>
    <row r="1356" spans="1:11" ht="18.75" customHeight="1" x14ac:dyDescent="0.3">
      <c r="A1356" s="30">
        <v>1374</v>
      </c>
      <c r="B1356" s="29"/>
      <c r="C1356" s="5" t="s">
        <v>40</v>
      </c>
      <c r="D1356" s="7">
        <v>400</v>
      </c>
      <c r="E1356" s="31">
        <v>141604</v>
      </c>
      <c r="F1356" s="29"/>
      <c r="G1356" s="32">
        <v>45619</v>
      </c>
      <c r="H1356" s="29"/>
      <c r="I1356" s="5" t="s">
        <v>15</v>
      </c>
      <c r="J1356" s="5" t="s">
        <v>30</v>
      </c>
      <c r="K1356" s="5"/>
    </row>
    <row r="1357" spans="1:11" ht="18.75" customHeight="1" x14ac:dyDescent="0.3">
      <c r="A1357" s="30">
        <v>1375</v>
      </c>
      <c r="B1357" s="29"/>
      <c r="C1357" s="5" t="s">
        <v>40</v>
      </c>
      <c r="D1357" s="7">
        <v>501</v>
      </c>
      <c r="E1357" s="31">
        <v>136447</v>
      </c>
      <c r="F1357" s="29"/>
      <c r="G1357" s="32">
        <v>45614</v>
      </c>
      <c r="H1357" s="29"/>
      <c r="I1357" s="5" t="s">
        <v>28</v>
      </c>
      <c r="J1357" s="5" t="s">
        <v>66</v>
      </c>
      <c r="K1357" s="5"/>
    </row>
    <row r="1358" spans="1:11" ht="18.75" customHeight="1" x14ac:dyDescent="0.3">
      <c r="A1358" s="30">
        <v>1376</v>
      </c>
      <c r="B1358" s="29"/>
      <c r="C1358" s="5" t="s">
        <v>40</v>
      </c>
      <c r="D1358" s="7">
        <v>340</v>
      </c>
      <c r="E1358" s="31">
        <v>141842</v>
      </c>
      <c r="F1358" s="29"/>
      <c r="G1358" s="32">
        <v>45614</v>
      </c>
      <c r="H1358" s="29"/>
      <c r="I1358" s="5" t="s">
        <v>28</v>
      </c>
      <c r="J1358" s="5" t="s">
        <v>66</v>
      </c>
      <c r="K1358" s="5"/>
    </row>
    <row r="1359" spans="1:11" ht="18.75" customHeight="1" x14ac:dyDescent="0.3">
      <c r="A1359" s="30">
        <v>1377</v>
      </c>
      <c r="B1359" s="29"/>
      <c r="C1359" s="5" t="s">
        <v>40</v>
      </c>
      <c r="D1359" s="7">
        <v>378</v>
      </c>
      <c r="E1359" s="31">
        <v>136453</v>
      </c>
      <c r="F1359" s="29"/>
      <c r="G1359" s="32">
        <v>45615</v>
      </c>
      <c r="H1359" s="29"/>
      <c r="I1359" s="5" t="s">
        <v>28</v>
      </c>
      <c r="J1359" s="5" t="s">
        <v>66</v>
      </c>
      <c r="K1359" s="5"/>
    </row>
    <row r="1360" spans="1:11" ht="18.75" customHeight="1" x14ac:dyDescent="0.3">
      <c r="A1360" s="30">
        <v>1378</v>
      </c>
      <c r="B1360" s="29"/>
      <c r="C1360" s="5" t="s">
        <v>40</v>
      </c>
      <c r="D1360" s="7">
        <v>650</v>
      </c>
      <c r="E1360" s="31">
        <v>136455</v>
      </c>
      <c r="F1360" s="29"/>
      <c r="G1360" s="32">
        <v>45616</v>
      </c>
      <c r="H1360" s="29"/>
      <c r="I1360" s="5" t="s">
        <v>28</v>
      </c>
      <c r="J1360" s="5" t="s">
        <v>66</v>
      </c>
      <c r="K1360" s="5"/>
    </row>
    <row r="1361" spans="1:11" ht="18.75" customHeight="1" x14ac:dyDescent="0.3">
      <c r="A1361" s="30">
        <v>1379</v>
      </c>
      <c r="B1361" s="29"/>
      <c r="C1361" s="5" t="s">
        <v>40</v>
      </c>
      <c r="D1361" s="7">
        <v>392</v>
      </c>
      <c r="E1361" s="31">
        <v>136465</v>
      </c>
      <c r="F1361" s="29"/>
      <c r="G1361" s="32">
        <v>45617</v>
      </c>
      <c r="H1361" s="29"/>
      <c r="I1361" s="5" t="s">
        <v>28</v>
      </c>
      <c r="J1361" s="5" t="s">
        <v>66</v>
      </c>
      <c r="K1361" s="5"/>
    </row>
    <row r="1362" spans="1:11" ht="18.75" customHeight="1" x14ac:dyDescent="0.3">
      <c r="A1362" s="30">
        <v>1380</v>
      </c>
      <c r="B1362" s="29"/>
      <c r="C1362" s="5" t="s">
        <v>40</v>
      </c>
      <c r="D1362" s="7">
        <v>650</v>
      </c>
      <c r="E1362" s="31">
        <v>136467</v>
      </c>
      <c r="F1362" s="29"/>
      <c r="G1362" s="32">
        <v>45618</v>
      </c>
      <c r="H1362" s="29"/>
      <c r="I1362" s="5" t="s">
        <v>28</v>
      </c>
      <c r="J1362" s="5" t="s">
        <v>66</v>
      </c>
      <c r="K1362" s="5"/>
    </row>
    <row r="1363" spans="1:11" ht="18.75" customHeight="1" x14ac:dyDescent="0.3">
      <c r="A1363" s="30">
        <v>1381</v>
      </c>
      <c r="B1363" s="29"/>
      <c r="C1363" s="5" t="s">
        <v>14</v>
      </c>
      <c r="D1363" s="7">
        <v>273</v>
      </c>
      <c r="E1363" s="31">
        <v>24932</v>
      </c>
      <c r="F1363" s="29"/>
      <c r="G1363" s="32">
        <v>45620</v>
      </c>
      <c r="H1363" s="29"/>
      <c r="I1363" s="5" t="s">
        <v>86</v>
      </c>
      <c r="J1363" s="5" t="s">
        <v>16</v>
      </c>
      <c r="K1363" s="5" t="s">
        <v>70</v>
      </c>
    </row>
    <row r="1364" spans="1:11" ht="18.75" customHeight="1" x14ac:dyDescent="0.3">
      <c r="A1364" s="30">
        <v>1382</v>
      </c>
      <c r="B1364" s="29"/>
      <c r="C1364" s="5" t="s">
        <v>14</v>
      </c>
      <c r="D1364" s="7">
        <v>401</v>
      </c>
      <c r="E1364" s="31">
        <v>121127</v>
      </c>
      <c r="F1364" s="29"/>
      <c r="G1364" s="32">
        <v>45621</v>
      </c>
      <c r="H1364" s="29"/>
      <c r="I1364" s="5" t="s">
        <v>86</v>
      </c>
      <c r="J1364" s="5" t="s">
        <v>16</v>
      </c>
      <c r="K1364" s="5" t="s">
        <v>70</v>
      </c>
    </row>
    <row r="1365" spans="1:11" ht="18.75" customHeight="1" x14ac:dyDescent="0.3">
      <c r="A1365" s="30">
        <v>1383</v>
      </c>
      <c r="B1365" s="29"/>
      <c r="C1365" s="5" t="s">
        <v>14</v>
      </c>
      <c r="D1365" s="7">
        <v>234</v>
      </c>
      <c r="E1365" s="31">
        <v>25064</v>
      </c>
      <c r="F1365" s="29"/>
      <c r="G1365" s="32">
        <v>45622</v>
      </c>
      <c r="H1365" s="29"/>
      <c r="I1365" s="5" t="s">
        <v>86</v>
      </c>
      <c r="J1365" s="5" t="s">
        <v>16</v>
      </c>
      <c r="K1365" s="5" t="s">
        <v>70</v>
      </c>
    </row>
    <row r="1366" spans="1:11" ht="18.75" customHeight="1" x14ac:dyDescent="0.3">
      <c r="A1366" s="30">
        <v>1384</v>
      </c>
      <c r="B1366" s="29"/>
      <c r="C1366" s="5" t="s">
        <v>14</v>
      </c>
      <c r="D1366" s="7">
        <v>309</v>
      </c>
      <c r="E1366" s="31">
        <v>25075</v>
      </c>
      <c r="F1366" s="29"/>
      <c r="G1366" s="32">
        <v>45623</v>
      </c>
      <c r="H1366" s="29"/>
      <c r="I1366" s="5" t="s">
        <v>86</v>
      </c>
      <c r="J1366" s="5" t="s">
        <v>16</v>
      </c>
      <c r="K1366" s="5" t="s">
        <v>70</v>
      </c>
    </row>
    <row r="1367" spans="1:11" ht="18.75" customHeight="1" x14ac:dyDescent="0.3">
      <c r="A1367" s="30">
        <v>1385</v>
      </c>
      <c r="B1367" s="29"/>
      <c r="C1367" s="5" t="s">
        <v>14</v>
      </c>
      <c r="D1367" s="7">
        <v>209</v>
      </c>
      <c r="E1367" s="31">
        <v>121310</v>
      </c>
      <c r="F1367" s="29"/>
      <c r="G1367" s="32">
        <v>45624</v>
      </c>
      <c r="H1367" s="29"/>
      <c r="I1367" s="5" t="s">
        <v>86</v>
      </c>
      <c r="J1367" s="5" t="s">
        <v>16</v>
      </c>
      <c r="K1367" s="5" t="s">
        <v>70</v>
      </c>
    </row>
    <row r="1368" spans="1:11" ht="18.75" customHeight="1" x14ac:dyDescent="0.3">
      <c r="A1368" s="30">
        <v>1386</v>
      </c>
      <c r="B1368" s="29"/>
      <c r="C1368" s="5" t="s">
        <v>14</v>
      </c>
      <c r="D1368" s="7">
        <v>242</v>
      </c>
      <c r="E1368" s="31">
        <v>25098</v>
      </c>
      <c r="F1368" s="29"/>
      <c r="G1368" s="32">
        <v>45625</v>
      </c>
      <c r="H1368" s="29"/>
      <c r="I1368" s="5" t="s">
        <v>86</v>
      </c>
      <c r="J1368" s="5" t="s">
        <v>16</v>
      </c>
      <c r="K1368" s="5" t="s">
        <v>70</v>
      </c>
    </row>
    <row r="1369" spans="1:11" ht="18.75" customHeight="1" x14ac:dyDescent="0.3">
      <c r="A1369" s="30">
        <v>1387</v>
      </c>
      <c r="B1369" s="29"/>
      <c r="C1369" s="5" t="s">
        <v>14</v>
      </c>
      <c r="D1369" s="7">
        <v>271</v>
      </c>
      <c r="E1369" s="31">
        <v>24825</v>
      </c>
      <c r="F1369" s="29"/>
      <c r="G1369" s="32">
        <v>45626</v>
      </c>
      <c r="H1369" s="29"/>
      <c r="I1369" s="5" t="s">
        <v>86</v>
      </c>
      <c r="J1369" s="5" t="s">
        <v>16</v>
      </c>
      <c r="K1369" s="5" t="s">
        <v>70</v>
      </c>
    </row>
    <row r="1370" spans="1:11" ht="18.75" customHeight="1" x14ac:dyDescent="0.3">
      <c r="A1370" s="30">
        <v>1388</v>
      </c>
      <c r="B1370" s="29"/>
      <c r="C1370" s="5" t="s">
        <v>14</v>
      </c>
      <c r="D1370" s="7">
        <v>280</v>
      </c>
      <c r="E1370" s="31">
        <v>24940</v>
      </c>
      <c r="F1370" s="29"/>
      <c r="G1370" s="32">
        <v>45621</v>
      </c>
      <c r="H1370" s="29"/>
      <c r="I1370" s="5" t="s">
        <v>84</v>
      </c>
      <c r="J1370" s="5" t="s">
        <v>85</v>
      </c>
      <c r="K1370" s="5" t="s">
        <v>17</v>
      </c>
    </row>
    <row r="1371" spans="1:11" ht="18.75" customHeight="1" x14ac:dyDescent="0.3">
      <c r="A1371" s="30">
        <v>1389</v>
      </c>
      <c r="B1371" s="29"/>
      <c r="C1371" s="5" t="s">
        <v>14</v>
      </c>
      <c r="D1371" s="7">
        <v>280</v>
      </c>
      <c r="E1371" s="31">
        <v>121203</v>
      </c>
      <c r="F1371" s="29"/>
      <c r="G1371" s="32">
        <v>45622</v>
      </c>
      <c r="H1371" s="29"/>
      <c r="I1371" s="5" t="s">
        <v>84</v>
      </c>
      <c r="J1371" s="5" t="s">
        <v>85</v>
      </c>
      <c r="K1371" s="5" t="s">
        <v>17</v>
      </c>
    </row>
    <row r="1372" spans="1:11" ht="18.75" customHeight="1" x14ac:dyDescent="0.3">
      <c r="A1372" s="30">
        <v>1390</v>
      </c>
      <c r="B1372" s="29"/>
      <c r="C1372" s="5" t="s">
        <v>14</v>
      </c>
      <c r="D1372" s="7">
        <v>292</v>
      </c>
      <c r="E1372" s="31">
        <v>25076</v>
      </c>
      <c r="F1372" s="29"/>
      <c r="G1372" s="32">
        <v>45623</v>
      </c>
      <c r="H1372" s="29"/>
      <c r="I1372" s="5" t="s">
        <v>84</v>
      </c>
      <c r="J1372" s="5" t="s">
        <v>85</v>
      </c>
      <c r="K1372" s="5" t="s">
        <v>17</v>
      </c>
    </row>
    <row r="1373" spans="1:11" ht="18.75" customHeight="1" x14ac:dyDescent="0.3">
      <c r="A1373" s="30">
        <v>1391</v>
      </c>
      <c r="B1373" s="29"/>
      <c r="C1373" s="5" t="s">
        <v>14</v>
      </c>
      <c r="D1373" s="7">
        <v>268</v>
      </c>
      <c r="E1373" s="31">
        <v>25090</v>
      </c>
      <c r="F1373" s="29"/>
      <c r="G1373" s="32">
        <v>45624</v>
      </c>
      <c r="H1373" s="29"/>
      <c r="I1373" s="5" t="s">
        <v>84</v>
      </c>
      <c r="J1373" s="5" t="s">
        <v>85</v>
      </c>
      <c r="K1373" s="5" t="s">
        <v>17</v>
      </c>
    </row>
    <row r="1374" spans="1:11" ht="18.75" customHeight="1" x14ac:dyDescent="0.3">
      <c r="A1374" s="30">
        <v>1392</v>
      </c>
      <c r="B1374" s="29"/>
      <c r="C1374" s="5" t="s">
        <v>40</v>
      </c>
      <c r="D1374" s="7">
        <v>650</v>
      </c>
      <c r="E1374" s="31">
        <v>136476</v>
      </c>
      <c r="F1374" s="29"/>
      <c r="G1374" s="32">
        <v>45621</v>
      </c>
      <c r="H1374" s="29"/>
      <c r="I1374" s="5" t="s">
        <v>15</v>
      </c>
      <c r="J1374" s="5" t="s">
        <v>30</v>
      </c>
      <c r="K1374" s="5"/>
    </row>
    <row r="1375" spans="1:11" ht="18.75" customHeight="1" x14ac:dyDescent="0.3">
      <c r="A1375" s="30">
        <v>1393</v>
      </c>
      <c r="B1375" s="29"/>
      <c r="C1375" s="5" t="s">
        <v>40</v>
      </c>
      <c r="D1375" s="7">
        <v>405</v>
      </c>
      <c r="E1375" s="31">
        <v>136484</v>
      </c>
      <c r="F1375" s="29"/>
      <c r="G1375" s="32">
        <v>45622</v>
      </c>
      <c r="H1375" s="29"/>
      <c r="I1375" s="5" t="s">
        <v>15</v>
      </c>
      <c r="J1375" s="5" t="s">
        <v>30</v>
      </c>
      <c r="K1375" s="5"/>
    </row>
    <row r="1376" spans="1:11" ht="18.75" customHeight="1" x14ac:dyDescent="0.3">
      <c r="A1376" s="30">
        <v>1394</v>
      </c>
      <c r="B1376" s="29"/>
      <c r="C1376" s="5" t="s">
        <v>40</v>
      </c>
      <c r="D1376" s="7">
        <v>350</v>
      </c>
      <c r="E1376" s="31">
        <v>136489</v>
      </c>
      <c r="F1376" s="29"/>
      <c r="G1376" s="32">
        <v>45623</v>
      </c>
      <c r="H1376" s="29"/>
      <c r="I1376" s="5" t="s">
        <v>15</v>
      </c>
      <c r="J1376" s="5" t="s">
        <v>30</v>
      </c>
      <c r="K1376" s="5"/>
    </row>
    <row r="1377" spans="1:11" ht="18.75" customHeight="1" x14ac:dyDescent="0.3">
      <c r="A1377" s="30">
        <v>1395</v>
      </c>
      <c r="B1377" s="29"/>
      <c r="C1377" s="5" t="s">
        <v>40</v>
      </c>
      <c r="D1377" s="7">
        <v>500</v>
      </c>
      <c r="E1377" s="31">
        <v>136495</v>
      </c>
      <c r="F1377" s="29"/>
      <c r="G1377" s="32">
        <v>45625</v>
      </c>
      <c r="H1377" s="29"/>
      <c r="I1377" s="5" t="s">
        <v>15</v>
      </c>
      <c r="J1377" s="5" t="s">
        <v>30</v>
      </c>
      <c r="K1377" s="5"/>
    </row>
    <row r="1378" spans="1:11" ht="18.75" customHeight="1" x14ac:dyDescent="0.3">
      <c r="A1378" s="30">
        <v>1396</v>
      </c>
      <c r="B1378" s="29"/>
      <c r="C1378" s="5" t="s">
        <v>40</v>
      </c>
      <c r="D1378" s="7">
        <v>600</v>
      </c>
      <c r="E1378" s="31">
        <v>115262</v>
      </c>
      <c r="F1378" s="29"/>
      <c r="G1378" s="32">
        <v>45625</v>
      </c>
      <c r="H1378" s="29"/>
      <c r="I1378" s="5" t="s">
        <v>15</v>
      </c>
      <c r="J1378" s="5" t="s">
        <v>30</v>
      </c>
      <c r="K1378" s="5"/>
    </row>
    <row r="1379" spans="1:11" ht="18.75" customHeight="1" x14ac:dyDescent="0.3">
      <c r="A1379" s="30">
        <v>1397</v>
      </c>
      <c r="B1379" s="29"/>
      <c r="C1379" s="5" t="s">
        <v>40</v>
      </c>
      <c r="D1379" s="7">
        <v>353</v>
      </c>
      <c r="E1379" s="31">
        <v>142314</v>
      </c>
      <c r="F1379" s="29"/>
      <c r="G1379" s="32">
        <v>45620</v>
      </c>
      <c r="H1379" s="29"/>
      <c r="I1379" s="5" t="s">
        <v>28</v>
      </c>
      <c r="J1379" s="5" t="s">
        <v>66</v>
      </c>
      <c r="K1379" s="5"/>
    </row>
    <row r="1380" spans="1:11" ht="18.75" customHeight="1" x14ac:dyDescent="0.3">
      <c r="A1380" s="30">
        <v>1398</v>
      </c>
      <c r="B1380" s="29"/>
      <c r="C1380" s="5" t="s">
        <v>40</v>
      </c>
      <c r="D1380" s="7">
        <v>500</v>
      </c>
      <c r="E1380" s="31">
        <v>136478</v>
      </c>
      <c r="F1380" s="29"/>
      <c r="G1380" s="32">
        <v>45621</v>
      </c>
      <c r="H1380" s="29"/>
      <c r="I1380" s="5" t="s">
        <v>28</v>
      </c>
      <c r="J1380" s="5" t="s">
        <v>66</v>
      </c>
      <c r="K1380" s="5"/>
    </row>
    <row r="1381" spans="1:11" ht="18.75" customHeight="1" x14ac:dyDescent="0.3">
      <c r="A1381" s="30">
        <v>1399</v>
      </c>
      <c r="B1381" s="29"/>
      <c r="C1381" s="5" t="s">
        <v>40</v>
      </c>
      <c r="D1381" s="7">
        <v>650</v>
      </c>
      <c r="E1381" s="31">
        <v>136482</v>
      </c>
      <c r="F1381" s="29"/>
      <c r="G1381" s="32">
        <v>45622</v>
      </c>
      <c r="H1381" s="29"/>
      <c r="I1381" s="5" t="s">
        <v>28</v>
      </c>
      <c r="J1381" s="5" t="s">
        <v>66</v>
      </c>
      <c r="K1381" s="5"/>
    </row>
    <row r="1382" spans="1:11" ht="18.75" customHeight="1" x14ac:dyDescent="0.3">
      <c r="A1382" s="30">
        <v>1400</v>
      </c>
      <c r="B1382" s="29"/>
      <c r="C1382" s="5" t="s">
        <v>40</v>
      </c>
      <c r="D1382" s="7">
        <v>480</v>
      </c>
      <c r="E1382" s="31">
        <v>142332</v>
      </c>
      <c r="F1382" s="29"/>
      <c r="G1382" s="32">
        <v>45625</v>
      </c>
      <c r="H1382" s="29"/>
      <c r="I1382" s="5" t="s">
        <v>28</v>
      </c>
      <c r="J1382" s="5" t="s">
        <v>66</v>
      </c>
      <c r="K1382" s="5"/>
    </row>
    <row r="1383" spans="1:11" ht="18.75" customHeight="1" x14ac:dyDescent="0.3">
      <c r="A1383" s="30">
        <v>1401</v>
      </c>
      <c r="B1383" s="29"/>
      <c r="C1383" s="5" t="s">
        <v>40</v>
      </c>
      <c r="D1383" s="7">
        <v>600</v>
      </c>
      <c r="E1383" s="31">
        <v>115266</v>
      </c>
      <c r="F1383" s="29"/>
      <c r="G1383" s="32">
        <v>45625</v>
      </c>
      <c r="H1383" s="29"/>
      <c r="I1383" s="5" t="s">
        <v>28</v>
      </c>
      <c r="J1383" s="5" t="s">
        <v>66</v>
      </c>
      <c r="K1383" s="5"/>
    </row>
    <row r="1384" spans="1:11" ht="18.75" customHeight="1" x14ac:dyDescent="0.3">
      <c r="A1384" s="30">
        <v>1402</v>
      </c>
      <c r="B1384" s="29"/>
      <c r="C1384" s="5" t="s">
        <v>40</v>
      </c>
      <c r="D1384" s="7">
        <v>400</v>
      </c>
      <c r="E1384" s="31">
        <v>142337</v>
      </c>
      <c r="F1384" s="29"/>
      <c r="G1384" s="32">
        <v>45627</v>
      </c>
      <c r="H1384" s="29"/>
      <c r="I1384" s="5" t="s">
        <v>28</v>
      </c>
      <c r="J1384" s="5" t="s">
        <v>66</v>
      </c>
      <c r="K1384" s="5"/>
    </row>
    <row r="1385" spans="1:11" ht="18.75" customHeight="1" x14ac:dyDescent="0.3">
      <c r="A1385" s="30">
        <v>1403</v>
      </c>
      <c r="B1385" s="29"/>
      <c r="C1385" s="5" t="s">
        <v>40</v>
      </c>
      <c r="D1385" s="7">
        <v>280</v>
      </c>
      <c r="E1385" s="31">
        <v>142343</v>
      </c>
      <c r="F1385" s="29"/>
      <c r="G1385" s="32">
        <v>45627</v>
      </c>
      <c r="H1385" s="29"/>
      <c r="I1385" s="5" t="s">
        <v>28</v>
      </c>
      <c r="J1385" s="5" t="s">
        <v>66</v>
      </c>
      <c r="K1385" s="5"/>
    </row>
    <row r="1386" spans="1:11" ht="18.75" customHeight="1" x14ac:dyDescent="0.3">
      <c r="A1386" s="30">
        <v>1404</v>
      </c>
      <c r="B1386" s="29"/>
      <c r="C1386" s="5" t="s">
        <v>14</v>
      </c>
      <c r="D1386" s="7">
        <v>329</v>
      </c>
      <c r="E1386" s="31">
        <v>121333</v>
      </c>
      <c r="F1386" s="29"/>
      <c r="G1386" s="32">
        <v>45625</v>
      </c>
      <c r="H1386" s="29"/>
      <c r="I1386" s="5" t="s">
        <v>84</v>
      </c>
      <c r="J1386" s="5" t="s">
        <v>85</v>
      </c>
      <c r="K1386" s="5" t="s">
        <v>17</v>
      </c>
    </row>
    <row r="1387" spans="1:11" ht="18.75" customHeight="1" x14ac:dyDescent="0.3">
      <c r="A1387" s="30">
        <v>1405</v>
      </c>
      <c r="B1387" s="29"/>
      <c r="C1387" s="5" t="s">
        <v>14</v>
      </c>
      <c r="D1387" s="7">
        <v>169</v>
      </c>
      <c r="E1387" s="31">
        <v>121411</v>
      </c>
      <c r="F1387" s="29"/>
      <c r="G1387" s="32">
        <v>45629</v>
      </c>
      <c r="H1387" s="29"/>
      <c r="I1387" s="5" t="s">
        <v>86</v>
      </c>
      <c r="J1387" s="5" t="s">
        <v>16</v>
      </c>
      <c r="K1387" s="5" t="s">
        <v>70</v>
      </c>
    </row>
    <row r="1388" spans="1:11" ht="18.75" customHeight="1" x14ac:dyDescent="0.3">
      <c r="A1388" s="30">
        <v>1406</v>
      </c>
      <c r="B1388" s="29"/>
      <c r="C1388" s="5" t="s">
        <v>14</v>
      </c>
      <c r="D1388" s="7">
        <v>447</v>
      </c>
      <c r="E1388" s="31">
        <v>120683</v>
      </c>
      <c r="F1388" s="29"/>
      <c r="G1388" s="32">
        <v>45633</v>
      </c>
      <c r="H1388" s="29"/>
      <c r="I1388" s="5" t="s">
        <v>28</v>
      </c>
      <c r="J1388" s="5" t="s">
        <v>66</v>
      </c>
      <c r="K1388" s="5" t="s">
        <v>30</v>
      </c>
    </row>
    <row r="1389" spans="1:11" ht="18.75" customHeight="1" x14ac:dyDescent="0.3">
      <c r="A1389" s="30">
        <v>1407</v>
      </c>
      <c r="B1389" s="29"/>
      <c r="C1389" s="5" t="s">
        <v>14</v>
      </c>
      <c r="D1389" s="7">
        <v>270</v>
      </c>
      <c r="E1389" s="31">
        <v>25105</v>
      </c>
      <c r="F1389" s="29"/>
      <c r="G1389" s="32">
        <v>45629</v>
      </c>
      <c r="H1389" s="29"/>
      <c r="I1389" s="5" t="s">
        <v>84</v>
      </c>
      <c r="J1389" s="5" t="s">
        <v>85</v>
      </c>
      <c r="K1389" s="5"/>
    </row>
    <row r="1390" spans="1:11" ht="18.75" customHeight="1" x14ac:dyDescent="0.3">
      <c r="A1390" s="30">
        <v>1408</v>
      </c>
      <c r="B1390" s="29"/>
      <c r="C1390" s="5" t="s">
        <v>14</v>
      </c>
      <c r="D1390" s="7">
        <v>234</v>
      </c>
      <c r="E1390" s="31">
        <v>25121</v>
      </c>
      <c r="F1390" s="29"/>
      <c r="G1390" s="32">
        <v>45630</v>
      </c>
      <c r="H1390" s="29"/>
      <c r="I1390" s="5" t="s">
        <v>84</v>
      </c>
      <c r="J1390" s="5" t="s">
        <v>85</v>
      </c>
      <c r="K1390" s="5"/>
    </row>
    <row r="1391" spans="1:11" ht="18.75" customHeight="1" x14ac:dyDescent="0.3">
      <c r="A1391" s="30">
        <v>1409</v>
      </c>
      <c r="B1391" s="29"/>
      <c r="C1391" s="5" t="s">
        <v>14</v>
      </c>
      <c r="D1391" s="7">
        <v>250</v>
      </c>
      <c r="E1391" s="31">
        <v>25132</v>
      </c>
      <c r="F1391" s="29"/>
      <c r="G1391" s="32">
        <v>45631</v>
      </c>
      <c r="H1391" s="29"/>
      <c r="I1391" s="5" t="s">
        <v>84</v>
      </c>
      <c r="J1391" s="5" t="s">
        <v>85</v>
      </c>
      <c r="K1391" s="5"/>
    </row>
    <row r="1392" spans="1:11" ht="18.75" customHeight="1" x14ac:dyDescent="0.3">
      <c r="A1392" s="30">
        <v>1410</v>
      </c>
      <c r="B1392" s="29"/>
      <c r="C1392" s="5" t="s">
        <v>14</v>
      </c>
      <c r="D1392" s="7">
        <v>426</v>
      </c>
      <c r="E1392" s="31">
        <v>25143</v>
      </c>
      <c r="F1392" s="29"/>
      <c r="G1392" s="32">
        <v>45632</v>
      </c>
      <c r="H1392" s="29"/>
      <c r="I1392" s="5" t="s">
        <v>84</v>
      </c>
      <c r="J1392" s="5" t="s">
        <v>85</v>
      </c>
      <c r="K1392" s="5"/>
    </row>
    <row r="1393" spans="1:11" ht="18.75" customHeight="1" x14ac:dyDescent="0.3">
      <c r="A1393" s="30">
        <v>1411</v>
      </c>
      <c r="B1393" s="29"/>
      <c r="C1393" s="5" t="s">
        <v>14</v>
      </c>
      <c r="D1393" s="7">
        <v>237</v>
      </c>
      <c r="E1393" s="31">
        <v>25171</v>
      </c>
      <c r="F1393" s="29"/>
      <c r="G1393" s="32">
        <v>45633</v>
      </c>
      <c r="H1393" s="29"/>
      <c r="I1393" s="5" t="s">
        <v>84</v>
      </c>
      <c r="J1393" s="5" t="s">
        <v>85</v>
      </c>
      <c r="K1393" s="5"/>
    </row>
    <row r="1394" spans="1:11" ht="18.75" customHeight="1" x14ac:dyDescent="0.3">
      <c r="A1394" s="30">
        <v>1412</v>
      </c>
      <c r="B1394" s="29"/>
      <c r="C1394" s="5" t="s">
        <v>14</v>
      </c>
      <c r="D1394" s="7">
        <v>255</v>
      </c>
      <c r="E1394" s="31">
        <v>24833</v>
      </c>
      <c r="F1394" s="29"/>
      <c r="G1394" s="32">
        <v>45627</v>
      </c>
      <c r="H1394" s="29"/>
      <c r="I1394" s="5" t="s">
        <v>86</v>
      </c>
      <c r="J1394" s="5" t="s">
        <v>16</v>
      </c>
      <c r="K1394" s="5" t="s">
        <v>17</v>
      </c>
    </row>
    <row r="1395" spans="1:11" ht="18.75" customHeight="1" x14ac:dyDescent="0.3">
      <c r="A1395" s="30">
        <v>1413</v>
      </c>
      <c r="B1395" s="29"/>
      <c r="C1395" s="5" t="s">
        <v>14</v>
      </c>
      <c r="D1395" s="7">
        <v>269</v>
      </c>
      <c r="E1395" s="31">
        <v>24842</v>
      </c>
      <c r="F1395" s="29"/>
      <c r="G1395" s="32">
        <v>45628</v>
      </c>
      <c r="H1395" s="29"/>
      <c r="I1395" s="5" t="s">
        <v>86</v>
      </c>
      <c r="J1395" s="5" t="s">
        <v>16</v>
      </c>
      <c r="K1395" s="5" t="s">
        <v>17</v>
      </c>
    </row>
    <row r="1396" spans="1:11" ht="18.75" customHeight="1" x14ac:dyDescent="0.3">
      <c r="A1396" s="30">
        <v>1414</v>
      </c>
      <c r="B1396" s="29"/>
      <c r="C1396" s="5" t="s">
        <v>14</v>
      </c>
      <c r="D1396" s="7">
        <v>239</v>
      </c>
      <c r="E1396" s="31">
        <v>25106</v>
      </c>
      <c r="F1396" s="29"/>
      <c r="G1396" s="32">
        <v>45629</v>
      </c>
      <c r="H1396" s="29"/>
      <c r="I1396" s="5" t="s">
        <v>86</v>
      </c>
      <c r="J1396" s="5" t="s">
        <v>16</v>
      </c>
      <c r="K1396" s="5" t="s">
        <v>17</v>
      </c>
    </row>
    <row r="1397" spans="1:11" ht="18.75" customHeight="1" x14ac:dyDescent="0.3">
      <c r="A1397" s="30">
        <v>1415</v>
      </c>
      <c r="B1397" s="29"/>
      <c r="C1397" s="5" t="s">
        <v>14</v>
      </c>
      <c r="D1397" s="7">
        <v>280</v>
      </c>
      <c r="E1397" s="31">
        <v>25122</v>
      </c>
      <c r="F1397" s="29"/>
      <c r="G1397" s="32">
        <v>45630</v>
      </c>
      <c r="H1397" s="29"/>
      <c r="I1397" s="5" t="s">
        <v>86</v>
      </c>
      <c r="J1397" s="5" t="s">
        <v>16</v>
      </c>
      <c r="K1397" s="5" t="s">
        <v>17</v>
      </c>
    </row>
    <row r="1398" spans="1:11" ht="18.75" customHeight="1" x14ac:dyDescent="0.3">
      <c r="A1398" s="30">
        <v>1416</v>
      </c>
      <c r="B1398" s="29"/>
      <c r="C1398" s="5" t="s">
        <v>14</v>
      </c>
      <c r="D1398" s="7">
        <v>222</v>
      </c>
      <c r="E1398" s="31">
        <v>25130</v>
      </c>
      <c r="F1398" s="29"/>
      <c r="G1398" s="32">
        <v>45631</v>
      </c>
      <c r="H1398" s="29"/>
      <c r="I1398" s="5" t="s">
        <v>86</v>
      </c>
      <c r="J1398" s="5" t="s">
        <v>16</v>
      </c>
      <c r="K1398" s="5" t="s">
        <v>17</v>
      </c>
    </row>
    <row r="1399" spans="1:11" ht="18.75" customHeight="1" x14ac:dyDescent="0.3">
      <c r="A1399" s="30">
        <v>1417</v>
      </c>
      <c r="B1399" s="29"/>
      <c r="C1399" s="5" t="s">
        <v>14</v>
      </c>
      <c r="D1399" s="7">
        <v>202</v>
      </c>
      <c r="E1399" s="31">
        <v>25144</v>
      </c>
      <c r="F1399" s="29"/>
      <c r="G1399" s="32">
        <v>45632</v>
      </c>
      <c r="H1399" s="29"/>
      <c r="I1399" s="5" t="s">
        <v>86</v>
      </c>
      <c r="J1399" s="5" t="s">
        <v>16</v>
      </c>
      <c r="K1399" s="5" t="s">
        <v>17</v>
      </c>
    </row>
    <row r="1400" spans="1:11" ht="18.75" customHeight="1" x14ac:dyDescent="0.3">
      <c r="A1400" s="30">
        <v>1418</v>
      </c>
      <c r="B1400" s="29"/>
      <c r="C1400" s="5" t="s">
        <v>14</v>
      </c>
      <c r="D1400" s="7">
        <v>196</v>
      </c>
      <c r="E1400" s="31">
        <v>25175</v>
      </c>
      <c r="F1400" s="29"/>
      <c r="G1400" s="32">
        <v>45633</v>
      </c>
      <c r="H1400" s="29"/>
      <c r="I1400" s="5" t="s">
        <v>86</v>
      </c>
      <c r="J1400" s="5" t="s">
        <v>16</v>
      </c>
      <c r="K1400" s="5" t="s">
        <v>17</v>
      </c>
    </row>
    <row r="1401" spans="1:11" ht="18.75" customHeight="1" x14ac:dyDescent="0.3">
      <c r="A1401" s="30">
        <v>1419</v>
      </c>
      <c r="B1401" s="29"/>
      <c r="C1401" s="5" t="s">
        <v>40</v>
      </c>
      <c r="D1401" s="7">
        <v>385</v>
      </c>
      <c r="E1401" s="31">
        <v>138780</v>
      </c>
      <c r="F1401" s="29"/>
      <c r="G1401" s="32">
        <v>45628</v>
      </c>
      <c r="H1401" s="29"/>
      <c r="I1401" s="5" t="s">
        <v>15</v>
      </c>
      <c r="J1401" s="5" t="s">
        <v>30</v>
      </c>
      <c r="K1401" s="5"/>
    </row>
    <row r="1402" spans="1:11" ht="18.75" customHeight="1" x14ac:dyDescent="0.3">
      <c r="A1402" s="30">
        <v>1420</v>
      </c>
      <c r="B1402" s="29"/>
      <c r="C1402" s="5" t="s">
        <v>40</v>
      </c>
      <c r="D1402" s="7">
        <v>490</v>
      </c>
      <c r="E1402" s="31">
        <v>138786</v>
      </c>
      <c r="F1402" s="29"/>
      <c r="G1402" s="32">
        <v>45630</v>
      </c>
      <c r="H1402" s="29"/>
      <c r="I1402" s="5" t="s">
        <v>15</v>
      </c>
      <c r="J1402" s="5" t="s">
        <v>30</v>
      </c>
      <c r="K1402" s="5"/>
    </row>
    <row r="1403" spans="1:11" ht="18.75" customHeight="1" x14ac:dyDescent="0.3">
      <c r="A1403" s="30">
        <v>1421</v>
      </c>
      <c r="B1403" s="29"/>
      <c r="C1403" s="5" t="s">
        <v>40</v>
      </c>
      <c r="D1403" s="7">
        <v>528</v>
      </c>
      <c r="E1403" s="31">
        <v>141622</v>
      </c>
      <c r="F1403" s="29"/>
      <c r="G1403" s="32">
        <v>45631</v>
      </c>
      <c r="H1403" s="29"/>
      <c r="I1403" s="5" t="s">
        <v>15</v>
      </c>
      <c r="J1403" s="5" t="s">
        <v>30</v>
      </c>
      <c r="K1403" s="5"/>
    </row>
    <row r="1404" spans="1:11" ht="18.75" customHeight="1" x14ac:dyDescent="0.3">
      <c r="A1404" s="30">
        <v>1422</v>
      </c>
      <c r="B1404" s="29"/>
      <c r="C1404" s="5" t="s">
        <v>40</v>
      </c>
      <c r="D1404" s="7">
        <v>500</v>
      </c>
      <c r="E1404" s="31">
        <v>136503</v>
      </c>
      <c r="F1404" s="29"/>
      <c r="G1404" s="32">
        <v>45628</v>
      </c>
      <c r="H1404" s="29"/>
      <c r="I1404" s="5" t="s">
        <v>28</v>
      </c>
      <c r="J1404" s="5" t="s">
        <v>66</v>
      </c>
      <c r="K1404" s="5"/>
    </row>
    <row r="1405" spans="1:11" ht="18.75" customHeight="1" x14ac:dyDescent="0.3">
      <c r="A1405" s="30">
        <v>1423</v>
      </c>
      <c r="B1405" s="29"/>
      <c r="C1405" s="5" t="s">
        <v>40</v>
      </c>
      <c r="D1405" s="7">
        <v>507</v>
      </c>
      <c r="E1405" s="31">
        <v>141623</v>
      </c>
      <c r="F1405" s="29"/>
      <c r="G1405" s="32">
        <v>45631</v>
      </c>
      <c r="H1405" s="29"/>
      <c r="I1405" s="5" t="s">
        <v>28</v>
      </c>
      <c r="J1405" s="5" t="s">
        <v>66</v>
      </c>
      <c r="K1405" s="5"/>
    </row>
    <row r="1406" spans="1:11" ht="18.75" customHeight="1" x14ac:dyDescent="0.3">
      <c r="A1406" s="30">
        <v>1424</v>
      </c>
      <c r="B1406" s="29"/>
      <c r="C1406" s="5" t="s">
        <v>14</v>
      </c>
      <c r="D1406" s="7">
        <v>304</v>
      </c>
      <c r="E1406" s="31">
        <v>25159</v>
      </c>
      <c r="F1406" s="29"/>
      <c r="G1406" s="32">
        <v>45635</v>
      </c>
      <c r="H1406" s="29"/>
      <c r="I1406" s="5" t="s">
        <v>86</v>
      </c>
      <c r="J1406" s="5" t="s">
        <v>16</v>
      </c>
      <c r="K1406" s="5" t="s">
        <v>70</v>
      </c>
    </row>
    <row r="1407" spans="1:11" ht="18.75" customHeight="1" x14ac:dyDescent="0.3">
      <c r="A1407" s="30">
        <v>1425</v>
      </c>
      <c r="B1407" s="29"/>
      <c r="C1407" s="5" t="s">
        <v>14</v>
      </c>
      <c r="D1407" s="7">
        <v>216</v>
      </c>
      <c r="E1407" s="31">
        <v>25207</v>
      </c>
      <c r="F1407" s="29"/>
      <c r="G1407" s="32">
        <v>45636</v>
      </c>
      <c r="H1407" s="29"/>
      <c r="I1407" s="5" t="s">
        <v>86</v>
      </c>
      <c r="J1407" s="5"/>
      <c r="K1407" s="5"/>
    </row>
    <row r="1408" spans="1:11" ht="18.75" customHeight="1" x14ac:dyDescent="0.3">
      <c r="A1408" s="30">
        <v>1426</v>
      </c>
      <c r="B1408" s="29"/>
      <c r="C1408" s="5" t="s">
        <v>14</v>
      </c>
      <c r="D1408" s="7">
        <f>271+65</f>
        <v>336</v>
      </c>
      <c r="E1408" s="31">
        <v>120978</v>
      </c>
      <c r="F1408" s="29"/>
      <c r="G1408" s="32">
        <v>45636</v>
      </c>
      <c r="H1408" s="29"/>
      <c r="I1408" s="5" t="s">
        <v>86</v>
      </c>
      <c r="J1408" s="5"/>
      <c r="K1408" s="5"/>
    </row>
    <row r="1409" spans="1:11" ht="18.75" customHeight="1" x14ac:dyDescent="0.3">
      <c r="A1409" s="30">
        <v>1427</v>
      </c>
      <c r="B1409" s="29"/>
      <c r="C1409" s="5" t="s">
        <v>14</v>
      </c>
      <c r="D1409" s="7">
        <v>215</v>
      </c>
      <c r="E1409" s="31">
        <v>25200</v>
      </c>
      <c r="F1409" s="29"/>
      <c r="G1409" s="32">
        <v>45637</v>
      </c>
      <c r="H1409" s="29"/>
      <c r="I1409" s="5" t="s">
        <v>86</v>
      </c>
      <c r="J1409" s="5" t="s">
        <v>16</v>
      </c>
      <c r="K1409" s="5" t="s">
        <v>70</v>
      </c>
    </row>
    <row r="1410" spans="1:11" ht="18.75" customHeight="1" x14ac:dyDescent="0.3">
      <c r="A1410" s="30">
        <v>1428</v>
      </c>
      <c r="B1410" s="29"/>
      <c r="C1410" s="5" t="s">
        <v>14</v>
      </c>
      <c r="D1410" s="7">
        <f>98+67</f>
        <v>165</v>
      </c>
      <c r="E1410" s="31">
        <v>120734</v>
      </c>
      <c r="F1410" s="29"/>
      <c r="G1410" s="32">
        <v>45637</v>
      </c>
      <c r="H1410" s="29"/>
      <c r="I1410" s="5" t="s">
        <v>86</v>
      </c>
      <c r="J1410" s="5" t="s">
        <v>16</v>
      </c>
      <c r="K1410" s="5" t="s">
        <v>70</v>
      </c>
    </row>
    <row r="1411" spans="1:11" ht="18.75" customHeight="1" x14ac:dyDescent="0.3">
      <c r="A1411" s="30">
        <v>1429</v>
      </c>
      <c r="B1411" s="29"/>
      <c r="C1411" s="5" t="s">
        <v>14</v>
      </c>
      <c r="D1411" s="7">
        <v>226</v>
      </c>
      <c r="E1411" s="31">
        <v>25226</v>
      </c>
      <c r="F1411" s="29"/>
      <c r="G1411" s="32">
        <v>45638</v>
      </c>
      <c r="H1411" s="29"/>
      <c r="I1411" s="5" t="s">
        <v>86</v>
      </c>
      <c r="J1411" s="5"/>
      <c r="K1411" s="5"/>
    </row>
    <row r="1412" spans="1:11" ht="18.75" customHeight="1" x14ac:dyDescent="0.3">
      <c r="A1412" s="30">
        <v>1430</v>
      </c>
      <c r="B1412" s="29"/>
      <c r="C1412" s="5" t="s">
        <v>14</v>
      </c>
      <c r="D1412" s="7">
        <v>113</v>
      </c>
      <c r="E1412" s="31">
        <v>120761</v>
      </c>
      <c r="F1412" s="29"/>
      <c r="G1412" s="32">
        <v>45638</v>
      </c>
      <c r="H1412" s="29"/>
      <c r="I1412" s="5" t="s">
        <v>86</v>
      </c>
      <c r="J1412" s="5"/>
      <c r="K1412" s="5"/>
    </row>
    <row r="1413" spans="1:11" ht="18.75" customHeight="1" x14ac:dyDescent="0.3">
      <c r="A1413" s="30">
        <v>1431</v>
      </c>
      <c r="B1413" s="29"/>
      <c r="C1413" s="5" t="s">
        <v>14</v>
      </c>
      <c r="D1413" s="7">
        <v>151</v>
      </c>
      <c r="E1413" s="31">
        <v>25237</v>
      </c>
      <c r="F1413" s="29"/>
      <c r="G1413" s="32">
        <v>45639</v>
      </c>
      <c r="H1413" s="29"/>
      <c r="I1413" s="5" t="s">
        <v>86</v>
      </c>
      <c r="J1413" s="5"/>
      <c r="K1413" s="5"/>
    </row>
    <row r="1414" spans="1:11" ht="18.75" customHeight="1" x14ac:dyDescent="0.3">
      <c r="A1414" s="30">
        <v>1432</v>
      </c>
      <c r="B1414" s="29"/>
      <c r="C1414" s="5" t="s">
        <v>14</v>
      </c>
      <c r="D1414" s="7">
        <f>268+31</f>
        <v>299</v>
      </c>
      <c r="E1414" s="31">
        <v>120814</v>
      </c>
      <c r="F1414" s="29"/>
      <c r="G1414" s="32">
        <v>45639</v>
      </c>
      <c r="H1414" s="29"/>
      <c r="I1414" s="5" t="s">
        <v>86</v>
      </c>
      <c r="J1414" s="5"/>
      <c r="K1414" s="5"/>
    </row>
    <row r="1415" spans="1:11" ht="18.75" customHeight="1" x14ac:dyDescent="0.3">
      <c r="A1415" s="30">
        <v>1433</v>
      </c>
      <c r="B1415" s="29"/>
      <c r="C1415" s="5" t="s">
        <v>14</v>
      </c>
      <c r="D1415" s="7">
        <v>139</v>
      </c>
      <c r="E1415" s="31">
        <v>25189</v>
      </c>
      <c r="F1415" s="29"/>
      <c r="G1415" s="32">
        <v>45640</v>
      </c>
      <c r="H1415" s="29"/>
      <c r="I1415" s="5" t="s">
        <v>86</v>
      </c>
      <c r="J1415" s="5"/>
      <c r="K1415" s="5"/>
    </row>
    <row r="1416" spans="1:11" ht="18.75" customHeight="1" x14ac:dyDescent="0.3">
      <c r="A1416" s="30">
        <v>1434</v>
      </c>
      <c r="B1416" s="29"/>
      <c r="C1416" s="5" t="s">
        <v>14</v>
      </c>
      <c r="D1416" s="7">
        <v>150</v>
      </c>
      <c r="E1416" s="31">
        <v>120838</v>
      </c>
      <c r="F1416" s="29"/>
      <c r="G1416" s="32">
        <v>45640</v>
      </c>
      <c r="H1416" s="29"/>
      <c r="I1416" s="5" t="s">
        <v>86</v>
      </c>
      <c r="J1416" s="5"/>
      <c r="K1416" s="5"/>
    </row>
    <row r="1417" spans="1:11" ht="18.75" customHeight="1" x14ac:dyDescent="0.3">
      <c r="A1417" s="30">
        <v>1435</v>
      </c>
      <c r="B1417" s="29"/>
      <c r="C1417" s="5" t="s">
        <v>14</v>
      </c>
      <c r="D1417" s="7">
        <v>213</v>
      </c>
      <c r="E1417" s="31">
        <v>25206</v>
      </c>
      <c r="F1417" s="29"/>
      <c r="G1417" s="32">
        <v>45636</v>
      </c>
      <c r="H1417" s="29"/>
      <c r="I1417" s="5" t="s">
        <v>84</v>
      </c>
      <c r="J1417" s="5" t="s">
        <v>85</v>
      </c>
      <c r="K1417" s="5" t="s">
        <v>17</v>
      </c>
    </row>
    <row r="1418" spans="1:11" ht="18.75" customHeight="1" x14ac:dyDescent="0.3">
      <c r="A1418" s="30">
        <v>1436</v>
      </c>
      <c r="B1418" s="29"/>
      <c r="C1418" s="5" t="s">
        <v>14</v>
      </c>
      <c r="D1418" s="7">
        <v>199</v>
      </c>
      <c r="E1418" s="31">
        <v>120979</v>
      </c>
      <c r="F1418" s="29"/>
      <c r="G1418" s="32">
        <v>45636</v>
      </c>
      <c r="H1418" s="29"/>
      <c r="I1418" s="5" t="s">
        <v>84</v>
      </c>
      <c r="J1418" s="5" t="s">
        <v>85</v>
      </c>
      <c r="K1418" s="5" t="s">
        <v>17</v>
      </c>
    </row>
    <row r="1419" spans="1:11" ht="18.75" customHeight="1" x14ac:dyDescent="0.3">
      <c r="A1419" s="30">
        <v>1437</v>
      </c>
      <c r="B1419" s="29"/>
      <c r="C1419" s="5" t="s">
        <v>14</v>
      </c>
      <c r="D1419" s="7">
        <f>194+27</f>
        <v>221</v>
      </c>
      <c r="E1419" s="31">
        <v>25199</v>
      </c>
      <c r="F1419" s="29"/>
      <c r="G1419" s="32">
        <v>45637</v>
      </c>
      <c r="H1419" s="29"/>
      <c r="I1419" s="5" t="s">
        <v>84</v>
      </c>
      <c r="J1419" s="5" t="s">
        <v>85</v>
      </c>
      <c r="K1419" s="5" t="s">
        <v>17</v>
      </c>
    </row>
    <row r="1420" spans="1:11" ht="18.75" customHeight="1" x14ac:dyDescent="0.3">
      <c r="A1420" s="30">
        <v>1438</v>
      </c>
      <c r="B1420" s="29"/>
      <c r="C1420" s="5" t="s">
        <v>14</v>
      </c>
      <c r="D1420" s="7">
        <v>233</v>
      </c>
      <c r="E1420" s="31">
        <v>25224</v>
      </c>
      <c r="F1420" s="29"/>
      <c r="G1420" s="32">
        <v>45638</v>
      </c>
      <c r="H1420" s="29"/>
      <c r="I1420" s="5" t="s">
        <v>84</v>
      </c>
      <c r="J1420" s="5" t="s">
        <v>85</v>
      </c>
      <c r="K1420" s="5" t="s">
        <v>17</v>
      </c>
    </row>
    <row r="1421" spans="1:11" ht="18.75" customHeight="1" x14ac:dyDescent="0.3">
      <c r="A1421" s="30">
        <v>1439</v>
      </c>
      <c r="B1421" s="29"/>
      <c r="C1421" s="5" t="s">
        <v>14</v>
      </c>
      <c r="D1421" s="7">
        <v>190</v>
      </c>
      <c r="E1421" s="31">
        <v>25236</v>
      </c>
      <c r="F1421" s="29"/>
      <c r="G1421" s="32">
        <v>45639</v>
      </c>
      <c r="H1421" s="29"/>
      <c r="I1421" s="5" t="s">
        <v>84</v>
      </c>
      <c r="J1421" s="5" t="s">
        <v>85</v>
      </c>
      <c r="K1421" s="5" t="s">
        <v>17</v>
      </c>
    </row>
    <row r="1422" spans="1:11" ht="18.75" customHeight="1" x14ac:dyDescent="0.3">
      <c r="A1422" s="30">
        <v>1440</v>
      </c>
      <c r="B1422" s="29"/>
      <c r="C1422" s="5" t="s">
        <v>14</v>
      </c>
      <c r="D1422" s="7">
        <v>234</v>
      </c>
      <c r="E1422" s="31">
        <v>25205</v>
      </c>
      <c r="F1422" s="29"/>
      <c r="G1422" s="32">
        <v>45636</v>
      </c>
      <c r="H1422" s="29"/>
      <c r="I1422" s="5" t="s">
        <v>28</v>
      </c>
      <c r="J1422" s="5" t="s">
        <v>66</v>
      </c>
      <c r="K1422" s="5" t="s">
        <v>30</v>
      </c>
    </row>
    <row r="1423" spans="1:11" ht="18.75" customHeight="1" x14ac:dyDescent="0.3">
      <c r="A1423" s="30">
        <v>1441</v>
      </c>
      <c r="B1423" s="29"/>
      <c r="C1423" s="5" t="s">
        <v>14</v>
      </c>
      <c r="D1423" s="7">
        <v>190</v>
      </c>
      <c r="E1423" s="31">
        <v>25198</v>
      </c>
      <c r="F1423" s="29"/>
      <c r="G1423" s="32">
        <v>45637</v>
      </c>
      <c r="H1423" s="29"/>
      <c r="I1423" s="5" t="s">
        <v>28</v>
      </c>
      <c r="J1423" s="5" t="s">
        <v>66</v>
      </c>
      <c r="K1423" s="5" t="s">
        <v>30</v>
      </c>
    </row>
    <row r="1424" spans="1:11" ht="18.75" customHeight="1" x14ac:dyDescent="0.3">
      <c r="A1424" s="30">
        <v>1442</v>
      </c>
      <c r="B1424" s="29"/>
      <c r="C1424" s="5" t="s">
        <v>14</v>
      </c>
      <c r="D1424" s="7">
        <v>322</v>
      </c>
      <c r="E1424" s="31">
        <v>25222</v>
      </c>
      <c r="F1424" s="29"/>
      <c r="G1424" s="32">
        <v>45638</v>
      </c>
      <c r="H1424" s="29"/>
      <c r="I1424" s="5" t="s">
        <v>28</v>
      </c>
      <c r="J1424" s="5" t="s">
        <v>66</v>
      </c>
      <c r="K1424" s="5" t="s">
        <v>30</v>
      </c>
    </row>
    <row r="1425" spans="1:11" ht="18.75" customHeight="1" x14ac:dyDescent="0.3">
      <c r="A1425" s="30">
        <v>1443</v>
      </c>
      <c r="B1425" s="29"/>
      <c r="C1425" s="5" t="s">
        <v>14</v>
      </c>
      <c r="D1425" s="7">
        <v>205</v>
      </c>
      <c r="E1425" s="31">
        <v>25188</v>
      </c>
      <c r="F1425" s="29"/>
      <c r="G1425" s="32">
        <v>45640</v>
      </c>
      <c r="H1425" s="29"/>
      <c r="I1425" s="5" t="s">
        <v>84</v>
      </c>
      <c r="J1425" s="5" t="s">
        <v>85</v>
      </c>
      <c r="K1425" s="5" t="s">
        <v>17</v>
      </c>
    </row>
    <row r="1426" spans="1:11" ht="18.75" customHeight="1" x14ac:dyDescent="0.3">
      <c r="A1426" s="30">
        <v>1444</v>
      </c>
      <c r="B1426" s="29"/>
      <c r="C1426" s="5" t="s">
        <v>14</v>
      </c>
      <c r="D1426" s="7">
        <v>192</v>
      </c>
      <c r="E1426" s="31">
        <v>25241</v>
      </c>
      <c r="F1426" s="29"/>
      <c r="G1426" s="32">
        <v>45639</v>
      </c>
      <c r="H1426" s="29"/>
      <c r="I1426" s="5" t="s">
        <v>28</v>
      </c>
      <c r="J1426" s="5" t="s">
        <v>66</v>
      </c>
      <c r="K1426" s="5" t="s">
        <v>30</v>
      </c>
    </row>
    <row r="1427" spans="1:11" ht="18.75" customHeight="1" x14ac:dyDescent="0.3">
      <c r="A1427" s="30">
        <v>1445</v>
      </c>
      <c r="B1427" s="29"/>
      <c r="C1427" s="5" t="s">
        <v>14</v>
      </c>
      <c r="D1427" s="7">
        <v>225</v>
      </c>
      <c r="E1427" s="31">
        <v>25186</v>
      </c>
      <c r="F1427" s="29"/>
      <c r="G1427" s="32">
        <v>45640</v>
      </c>
      <c r="H1427" s="29"/>
      <c r="I1427" s="5" t="s">
        <v>28</v>
      </c>
      <c r="J1427" s="5" t="s">
        <v>66</v>
      </c>
      <c r="K1427" s="5" t="s">
        <v>30</v>
      </c>
    </row>
    <row r="1428" spans="1:11" ht="18.75" customHeight="1" x14ac:dyDescent="0.3">
      <c r="A1428" s="30">
        <v>1446</v>
      </c>
      <c r="B1428" s="29"/>
      <c r="C1428" s="5" t="s">
        <v>14</v>
      </c>
      <c r="D1428" s="7">
        <v>204</v>
      </c>
      <c r="E1428" s="31">
        <v>120837</v>
      </c>
      <c r="F1428" s="29"/>
      <c r="G1428" s="32">
        <v>45640</v>
      </c>
      <c r="H1428" s="29"/>
      <c r="I1428" s="5" t="s">
        <v>84</v>
      </c>
      <c r="J1428" s="5" t="s">
        <v>85</v>
      </c>
      <c r="K1428" s="5" t="s">
        <v>17</v>
      </c>
    </row>
    <row r="1429" spans="1:11" ht="18.75" customHeight="1" x14ac:dyDescent="0.3">
      <c r="A1429" s="30">
        <v>1447</v>
      </c>
      <c r="B1429" s="29"/>
      <c r="C1429" s="5" t="s">
        <v>40</v>
      </c>
      <c r="D1429" s="7">
        <v>343</v>
      </c>
      <c r="E1429" s="31">
        <v>136500</v>
      </c>
      <c r="F1429" s="29"/>
      <c r="G1429" s="32">
        <v>45636</v>
      </c>
      <c r="H1429" s="29"/>
      <c r="I1429" s="5" t="s">
        <v>15</v>
      </c>
      <c r="J1429" s="5" t="s">
        <v>30</v>
      </c>
      <c r="K1429" s="5"/>
    </row>
    <row r="1430" spans="1:11" ht="18.75" customHeight="1" x14ac:dyDescent="0.3">
      <c r="A1430" s="30">
        <v>1448</v>
      </c>
      <c r="B1430" s="29"/>
      <c r="C1430" s="5" t="s">
        <v>40</v>
      </c>
      <c r="D1430" s="7">
        <v>519</v>
      </c>
      <c r="E1430" s="31">
        <v>136505</v>
      </c>
      <c r="F1430" s="29"/>
      <c r="G1430" s="32">
        <v>45637</v>
      </c>
      <c r="H1430" s="29"/>
      <c r="I1430" s="5" t="s">
        <v>15</v>
      </c>
      <c r="J1430" s="5" t="s">
        <v>30</v>
      </c>
      <c r="K1430" s="5"/>
    </row>
    <row r="1431" spans="1:11" ht="18.75" customHeight="1" x14ac:dyDescent="0.3">
      <c r="A1431" s="30">
        <v>1449</v>
      </c>
      <c r="B1431" s="29"/>
      <c r="C1431" s="5" t="s">
        <v>40</v>
      </c>
      <c r="D1431" s="7">
        <v>519</v>
      </c>
      <c r="E1431" s="31">
        <v>136507</v>
      </c>
      <c r="F1431" s="29"/>
      <c r="G1431" s="32">
        <v>45638</v>
      </c>
      <c r="H1431" s="29"/>
      <c r="I1431" s="5" t="s">
        <v>15</v>
      </c>
      <c r="J1431" s="5" t="s">
        <v>30</v>
      </c>
      <c r="K1431" s="5"/>
    </row>
    <row r="1432" spans="1:11" ht="18.75" customHeight="1" x14ac:dyDescent="0.3">
      <c r="A1432" s="30">
        <v>1450</v>
      </c>
      <c r="B1432" s="29"/>
      <c r="C1432" s="5" t="s">
        <v>40</v>
      </c>
      <c r="D1432" s="7">
        <v>650</v>
      </c>
      <c r="E1432" s="31">
        <v>138798</v>
      </c>
      <c r="F1432" s="29"/>
      <c r="G1432" s="32">
        <v>45638</v>
      </c>
      <c r="H1432" s="29"/>
      <c r="I1432" s="5" t="s">
        <v>15</v>
      </c>
      <c r="J1432" s="5" t="s">
        <v>30</v>
      </c>
      <c r="K1432" s="5"/>
    </row>
    <row r="1433" spans="1:11" ht="18.75" customHeight="1" x14ac:dyDescent="0.3">
      <c r="A1433" s="30">
        <v>1451</v>
      </c>
      <c r="B1433" s="29"/>
      <c r="C1433" s="5" t="s">
        <v>40</v>
      </c>
      <c r="D1433" s="7">
        <v>488</v>
      </c>
      <c r="E1433" s="31">
        <v>136509</v>
      </c>
      <c r="F1433" s="29"/>
      <c r="G1433" s="32">
        <v>45639</v>
      </c>
      <c r="H1433" s="29"/>
      <c r="I1433" s="5" t="s">
        <v>15</v>
      </c>
      <c r="J1433" s="5" t="s">
        <v>30</v>
      </c>
      <c r="K1433" s="5"/>
    </row>
    <row r="1434" spans="1:11" ht="18.75" customHeight="1" x14ac:dyDescent="0.3">
      <c r="A1434" s="30">
        <v>1452</v>
      </c>
      <c r="B1434" s="29"/>
      <c r="C1434" s="5" t="s">
        <v>40</v>
      </c>
      <c r="D1434" s="7">
        <v>487</v>
      </c>
      <c r="E1434" s="31">
        <v>136512</v>
      </c>
      <c r="F1434" s="29"/>
      <c r="G1434" s="32">
        <v>45640</v>
      </c>
      <c r="H1434" s="29"/>
      <c r="I1434" s="5" t="s">
        <v>15</v>
      </c>
      <c r="J1434" s="5" t="s">
        <v>30</v>
      </c>
      <c r="K1434" s="5"/>
    </row>
    <row r="1435" spans="1:11" ht="18.75" customHeight="1" x14ac:dyDescent="0.3">
      <c r="A1435" s="30">
        <v>1453</v>
      </c>
      <c r="B1435" s="29"/>
      <c r="C1435" s="5" t="s">
        <v>40</v>
      </c>
      <c r="D1435" s="7">
        <v>640</v>
      </c>
      <c r="E1435" s="31">
        <v>141626</v>
      </c>
      <c r="F1435" s="29"/>
      <c r="G1435" s="32">
        <v>45635</v>
      </c>
      <c r="H1435" s="29"/>
      <c r="I1435" s="5" t="s">
        <v>28</v>
      </c>
      <c r="J1435" s="5" t="s">
        <v>66</v>
      </c>
      <c r="K1435" s="5"/>
    </row>
    <row r="1436" spans="1:11" ht="18.75" customHeight="1" x14ac:dyDescent="0.3">
      <c r="A1436" s="30">
        <v>1454</v>
      </c>
      <c r="B1436" s="29"/>
      <c r="C1436" s="5" t="s">
        <v>40</v>
      </c>
      <c r="D1436" s="7">
        <v>690</v>
      </c>
      <c r="E1436" s="31">
        <v>141629</v>
      </c>
      <c r="F1436" s="29"/>
      <c r="G1436" s="32">
        <v>45636</v>
      </c>
      <c r="H1436" s="29"/>
      <c r="I1436" s="5" t="s">
        <v>28</v>
      </c>
      <c r="J1436" s="5" t="s">
        <v>66</v>
      </c>
      <c r="K1436" s="5"/>
    </row>
    <row r="1437" spans="1:11" ht="18.75" customHeight="1" x14ac:dyDescent="0.3">
      <c r="A1437" s="30">
        <v>1455</v>
      </c>
      <c r="B1437" s="29"/>
      <c r="C1437" s="5" t="s">
        <v>40</v>
      </c>
      <c r="D1437" s="7">
        <v>452</v>
      </c>
      <c r="E1437" s="31">
        <v>138794</v>
      </c>
      <c r="F1437" s="29"/>
      <c r="G1437" s="32">
        <v>45637</v>
      </c>
      <c r="H1437" s="29"/>
      <c r="I1437" s="5" t="s">
        <v>28</v>
      </c>
      <c r="J1437" s="5" t="s">
        <v>66</v>
      </c>
      <c r="K1437" s="5"/>
    </row>
    <row r="1438" spans="1:11" ht="18.75" customHeight="1" x14ac:dyDescent="0.3">
      <c r="A1438" s="30">
        <v>1456</v>
      </c>
      <c r="B1438" s="29"/>
      <c r="C1438" s="5" t="s">
        <v>40</v>
      </c>
      <c r="D1438" s="7">
        <v>487</v>
      </c>
      <c r="E1438" s="31">
        <v>136506</v>
      </c>
      <c r="F1438" s="29"/>
      <c r="G1438" s="32">
        <v>45638</v>
      </c>
      <c r="H1438" s="29"/>
      <c r="I1438" s="5" t="s">
        <v>28</v>
      </c>
      <c r="J1438" s="5" t="s">
        <v>66</v>
      </c>
      <c r="K1438" s="5"/>
    </row>
    <row r="1439" spans="1:11" ht="18.75" customHeight="1" x14ac:dyDescent="0.3">
      <c r="A1439" s="30">
        <v>1457</v>
      </c>
      <c r="B1439" s="29"/>
      <c r="C1439" s="5" t="s">
        <v>40</v>
      </c>
      <c r="D1439" s="7">
        <v>665</v>
      </c>
      <c r="E1439" s="31">
        <v>141637</v>
      </c>
      <c r="F1439" s="29"/>
      <c r="G1439" s="32">
        <v>45638</v>
      </c>
      <c r="H1439" s="29"/>
      <c r="I1439" s="5" t="s">
        <v>28</v>
      </c>
      <c r="J1439" s="5" t="s">
        <v>66</v>
      </c>
      <c r="K1439" s="5"/>
    </row>
    <row r="1440" spans="1:11" ht="18.75" customHeight="1" x14ac:dyDescent="0.3">
      <c r="A1440" s="30">
        <v>1458</v>
      </c>
      <c r="B1440" s="29"/>
      <c r="C1440" s="5" t="s">
        <v>40</v>
      </c>
      <c r="D1440" s="7">
        <v>394</v>
      </c>
      <c r="E1440" s="31">
        <v>142386</v>
      </c>
      <c r="F1440" s="29"/>
      <c r="G1440" s="32">
        <v>45639</v>
      </c>
      <c r="H1440" s="29"/>
      <c r="I1440" s="5" t="s">
        <v>28</v>
      </c>
      <c r="J1440" s="5" t="s">
        <v>66</v>
      </c>
      <c r="K1440" s="5"/>
    </row>
    <row r="1441" spans="1:12" ht="18.75" customHeight="1" x14ac:dyDescent="0.3">
      <c r="A1441" s="30">
        <v>1459</v>
      </c>
      <c r="B1441" s="29"/>
      <c r="C1441" s="5" t="s">
        <v>40</v>
      </c>
      <c r="D1441" s="7">
        <v>487</v>
      </c>
      <c r="E1441" s="31">
        <v>136513</v>
      </c>
      <c r="F1441" s="29"/>
      <c r="G1441" s="32">
        <v>45640</v>
      </c>
      <c r="H1441" s="29"/>
      <c r="I1441" s="5" t="s">
        <v>28</v>
      </c>
      <c r="J1441" s="5" t="s">
        <v>66</v>
      </c>
      <c r="K1441" s="5"/>
    </row>
    <row r="1442" spans="1:12" ht="18.75" customHeight="1" x14ac:dyDescent="0.3">
      <c r="A1442" s="30">
        <v>1460</v>
      </c>
      <c r="B1442" s="29"/>
      <c r="C1442" s="5" t="s">
        <v>40</v>
      </c>
      <c r="D1442" s="7">
        <v>660</v>
      </c>
      <c r="E1442" s="31">
        <v>136518</v>
      </c>
      <c r="F1442" s="29"/>
      <c r="G1442" s="32">
        <v>45642</v>
      </c>
      <c r="H1442" s="29"/>
      <c r="I1442" s="5" t="s">
        <v>15</v>
      </c>
      <c r="J1442" s="5" t="s">
        <v>30</v>
      </c>
      <c r="K1442" s="5"/>
      <c r="L1442" t="s">
        <v>43</v>
      </c>
    </row>
    <row r="1443" spans="1:12" ht="18.75" customHeight="1" x14ac:dyDescent="0.3">
      <c r="A1443" s="30">
        <v>1461</v>
      </c>
      <c r="B1443" s="29"/>
      <c r="C1443" s="5" t="s">
        <v>40</v>
      </c>
      <c r="D1443" s="7">
        <v>400</v>
      </c>
      <c r="E1443" s="31">
        <v>138810</v>
      </c>
      <c r="F1443" s="29"/>
      <c r="G1443" s="32">
        <v>45643</v>
      </c>
      <c r="H1443" s="29"/>
      <c r="I1443" s="5" t="s">
        <v>15</v>
      </c>
      <c r="J1443" s="5" t="s">
        <v>30</v>
      </c>
      <c r="K1443" s="5"/>
      <c r="L1443" t="s">
        <v>42</v>
      </c>
    </row>
    <row r="1444" spans="1:12" ht="18.75" customHeight="1" x14ac:dyDescent="0.3">
      <c r="A1444" s="30">
        <v>1462</v>
      </c>
      <c r="B1444" s="29"/>
      <c r="C1444" s="5" t="s">
        <v>40</v>
      </c>
      <c r="D1444" s="7">
        <v>501</v>
      </c>
      <c r="E1444" s="31">
        <v>136521</v>
      </c>
      <c r="F1444" s="29"/>
      <c r="G1444" s="32">
        <v>45643</v>
      </c>
      <c r="H1444" s="29"/>
      <c r="I1444" s="5" t="s">
        <v>15</v>
      </c>
      <c r="J1444" s="5" t="s">
        <v>30</v>
      </c>
      <c r="K1444" s="5"/>
      <c r="L1444" t="s">
        <v>87</v>
      </c>
    </row>
    <row r="1445" spans="1:12" ht="18.75" customHeight="1" x14ac:dyDescent="0.3">
      <c r="A1445" s="30">
        <v>1463</v>
      </c>
      <c r="B1445" s="29"/>
      <c r="C1445" s="5" t="s">
        <v>40</v>
      </c>
      <c r="D1445" s="7">
        <v>280</v>
      </c>
      <c r="E1445" s="31">
        <v>142409</v>
      </c>
      <c r="F1445" s="29"/>
      <c r="G1445" s="32">
        <v>45643</v>
      </c>
      <c r="H1445" s="29"/>
      <c r="I1445" s="5" t="s">
        <v>15</v>
      </c>
      <c r="J1445" s="5" t="s">
        <v>30</v>
      </c>
      <c r="K1445" s="5"/>
      <c r="L1445" t="s">
        <v>41</v>
      </c>
    </row>
    <row r="1446" spans="1:12" ht="18.75" customHeight="1" x14ac:dyDescent="0.3">
      <c r="A1446" s="30">
        <v>1464</v>
      </c>
      <c r="B1446" s="29"/>
      <c r="C1446" s="5" t="s">
        <v>40</v>
      </c>
      <c r="D1446" s="7">
        <v>350</v>
      </c>
      <c r="E1446" s="31">
        <v>136525</v>
      </c>
      <c r="F1446" s="29"/>
      <c r="G1446" s="32">
        <v>45644</v>
      </c>
      <c r="H1446" s="29"/>
      <c r="I1446" s="5" t="s">
        <v>15</v>
      </c>
      <c r="J1446" s="5" t="s">
        <v>30</v>
      </c>
      <c r="K1446" s="5"/>
      <c r="L1446" t="s">
        <v>88</v>
      </c>
    </row>
    <row r="1447" spans="1:12" ht="18.75" customHeight="1" x14ac:dyDescent="0.3">
      <c r="A1447" s="30">
        <v>1465</v>
      </c>
      <c r="B1447" s="29"/>
      <c r="C1447" s="5" t="s">
        <v>40</v>
      </c>
      <c r="D1447" s="7">
        <v>392</v>
      </c>
      <c r="E1447" s="31">
        <v>136529</v>
      </c>
      <c r="F1447" s="29"/>
      <c r="G1447" s="32">
        <v>45644</v>
      </c>
      <c r="H1447" s="29"/>
      <c r="I1447" s="5" t="s">
        <v>15</v>
      </c>
      <c r="J1447" s="5" t="s">
        <v>30</v>
      </c>
      <c r="K1447" s="5"/>
      <c r="L1447" t="s">
        <v>43</v>
      </c>
    </row>
    <row r="1448" spans="1:12" ht="18.75" customHeight="1" x14ac:dyDescent="0.3">
      <c r="A1448" s="30">
        <v>1466</v>
      </c>
      <c r="B1448" s="29"/>
      <c r="C1448" s="5" t="s">
        <v>40</v>
      </c>
      <c r="D1448" s="7">
        <v>392</v>
      </c>
      <c r="E1448" s="31">
        <v>58278</v>
      </c>
      <c r="F1448" s="29"/>
      <c r="G1448" s="32">
        <v>45645</v>
      </c>
      <c r="H1448" s="29"/>
      <c r="I1448" s="5" t="s">
        <v>15</v>
      </c>
      <c r="J1448" s="5" t="s">
        <v>30</v>
      </c>
      <c r="K1448" s="5"/>
      <c r="L1448" t="s">
        <v>89</v>
      </c>
    </row>
    <row r="1449" spans="1:12" ht="18.75" customHeight="1" x14ac:dyDescent="0.3">
      <c r="A1449" s="30">
        <v>1467</v>
      </c>
      <c r="B1449" s="29"/>
      <c r="C1449" s="5" t="s">
        <v>40</v>
      </c>
      <c r="D1449" s="7">
        <v>392</v>
      </c>
      <c r="E1449" s="31">
        <v>141655</v>
      </c>
      <c r="F1449" s="29"/>
      <c r="G1449" s="32">
        <v>45646</v>
      </c>
      <c r="H1449" s="29"/>
      <c r="I1449" s="5" t="s">
        <v>15</v>
      </c>
      <c r="J1449" s="5" t="s">
        <v>30</v>
      </c>
      <c r="K1449" s="5"/>
      <c r="L1449" t="s">
        <v>90</v>
      </c>
    </row>
    <row r="1450" spans="1:12" ht="18.75" customHeight="1" x14ac:dyDescent="0.3">
      <c r="A1450" s="30">
        <v>1468</v>
      </c>
      <c r="B1450" s="29"/>
      <c r="C1450" s="5" t="s">
        <v>40</v>
      </c>
      <c r="D1450" s="7">
        <v>400</v>
      </c>
      <c r="E1450" s="31">
        <v>141659</v>
      </c>
      <c r="F1450" s="29"/>
      <c r="G1450" s="32">
        <v>45646</v>
      </c>
      <c r="H1450" s="29"/>
      <c r="I1450" s="5" t="s">
        <v>15</v>
      </c>
      <c r="J1450" s="5" t="s">
        <v>30</v>
      </c>
      <c r="K1450" s="5"/>
      <c r="L1450" t="s">
        <v>90</v>
      </c>
    </row>
    <row r="1451" spans="1:12" ht="18.75" customHeight="1" x14ac:dyDescent="0.3">
      <c r="A1451" s="30">
        <v>1469</v>
      </c>
      <c r="B1451" s="29"/>
      <c r="C1451" s="5" t="s">
        <v>40</v>
      </c>
      <c r="D1451" s="7">
        <v>392</v>
      </c>
      <c r="E1451" s="31">
        <v>141661</v>
      </c>
      <c r="F1451" s="29"/>
      <c r="G1451" s="32">
        <v>45647</v>
      </c>
      <c r="H1451" s="29"/>
      <c r="I1451" s="5" t="s">
        <v>15</v>
      </c>
      <c r="J1451" s="5" t="s">
        <v>30</v>
      </c>
      <c r="K1451" s="5"/>
      <c r="L1451" t="s">
        <v>90</v>
      </c>
    </row>
    <row r="1452" spans="1:12" ht="18.75" customHeight="1" x14ac:dyDescent="0.3">
      <c r="A1452" s="30">
        <v>1470</v>
      </c>
      <c r="B1452" s="29"/>
      <c r="C1452" s="5" t="s">
        <v>40</v>
      </c>
      <c r="D1452" s="7">
        <v>386</v>
      </c>
      <c r="E1452" s="31">
        <v>141667</v>
      </c>
      <c r="F1452" s="29"/>
      <c r="G1452" s="32">
        <v>45647</v>
      </c>
      <c r="H1452" s="29"/>
      <c r="I1452" s="5" t="s">
        <v>15</v>
      </c>
      <c r="J1452" s="5" t="s">
        <v>30</v>
      </c>
      <c r="K1452" s="5"/>
      <c r="L1452" t="s">
        <v>90</v>
      </c>
    </row>
    <row r="1453" spans="1:12" ht="18.75" customHeight="1" x14ac:dyDescent="0.3">
      <c r="A1453" s="30">
        <v>1471</v>
      </c>
      <c r="B1453" s="29"/>
      <c r="C1453" s="5" t="s">
        <v>40</v>
      </c>
      <c r="D1453" s="7">
        <v>378</v>
      </c>
      <c r="E1453" s="31">
        <v>136519</v>
      </c>
      <c r="F1453" s="29"/>
      <c r="G1453" s="32">
        <v>45642</v>
      </c>
      <c r="H1453" s="29"/>
      <c r="I1453" s="5" t="s">
        <v>28</v>
      </c>
      <c r="J1453" s="5" t="s">
        <v>66</v>
      </c>
      <c r="K1453" s="5"/>
      <c r="L1453" t="s">
        <v>43</v>
      </c>
    </row>
    <row r="1454" spans="1:12" ht="18.75" customHeight="1" x14ac:dyDescent="0.3">
      <c r="A1454" s="30">
        <v>1472</v>
      </c>
      <c r="B1454" s="29"/>
      <c r="C1454" s="5" t="s">
        <v>40</v>
      </c>
      <c r="D1454" s="7">
        <v>368</v>
      </c>
      <c r="E1454" s="31">
        <v>136531</v>
      </c>
      <c r="F1454" s="29"/>
      <c r="G1454" s="32">
        <v>45645</v>
      </c>
      <c r="H1454" s="29"/>
      <c r="I1454" s="5" t="s">
        <v>28</v>
      </c>
      <c r="J1454" s="5" t="s">
        <v>66</v>
      </c>
      <c r="K1454" s="5"/>
      <c r="L1454" t="s">
        <v>88</v>
      </c>
    </row>
    <row r="1455" spans="1:12" ht="18.75" customHeight="1" x14ac:dyDescent="0.3">
      <c r="A1455" s="30">
        <v>1473</v>
      </c>
      <c r="B1455" s="29"/>
      <c r="C1455" s="5" t="s">
        <v>40</v>
      </c>
      <c r="D1455" s="7">
        <v>484</v>
      </c>
      <c r="E1455" s="31">
        <v>142413</v>
      </c>
      <c r="F1455" s="29"/>
      <c r="G1455" s="32">
        <v>45647</v>
      </c>
      <c r="H1455" s="29"/>
      <c r="I1455" s="5" t="s">
        <v>28</v>
      </c>
      <c r="J1455" s="5" t="s">
        <v>66</v>
      </c>
      <c r="K1455" s="5"/>
      <c r="L1455" t="s">
        <v>41</v>
      </c>
    </row>
    <row r="1456" spans="1:12" ht="18.75" customHeight="1" x14ac:dyDescent="0.3">
      <c r="A1456" s="30">
        <v>1474</v>
      </c>
      <c r="B1456" s="29"/>
      <c r="C1456" s="5" t="s">
        <v>14</v>
      </c>
      <c r="D1456" s="7">
        <v>235</v>
      </c>
      <c r="E1456" s="31">
        <v>25251</v>
      </c>
      <c r="F1456" s="29"/>
      <c r="G1456" s="32">
        <v>45641</v>
      </c>
      <c r="H1456" s="29"/>
      <c r="I1456" s="5" t="s">
        <v>86</v>
      </c>
      <c r="J1456" s="5" t="s">
        <v>16</v>
      </c>
      <c r="K1456" s="5" t="s">
        <v>17</v>
      </c>
    </row>
    <row r="1457" spans="1:11" ht="18.75" customHeight="1" x14ac:dyDescent="0.3">
      <c r="A1457" s="30">
        <v>1475</v>
      </c>
      <c r="B1457" s="29"/>
      <c r="C1457" s="5" t="s">
        <v>14</v>
      </c>
      <c r="D1457" s="7">
        <v>177</v>
      </c>
      <c r="E1457" s="31">
        <v>25261</v>
      </c>
      <c r="F1457" s="29"/>
      <c r="G1457" s="32">
        <v>45642</v>
      </c>
      <c r="H1457" s="29"/>
      <c r="I1457" s="5" t="s">
        <v>86</v>
      </c>
      <c r="J1457" s="5" t="s">
        <v>16</v>
      </c>
      <c r="K1457" s="5" t="s">
        <v>17</v>
      </c>
    </row>
    <row r="1458" spans="1:11" ht="18.75" customHeight="1" x14ac:dyDescent="0.3">
      <c r="A1458" s="30">
        <v>1476</v>
      </c>
      <c r="B1458" s="29"/>
      <c r="C1458" s="5" t="s">
        <v>14</v>
      </c>
      <c r="D1458" s="7">
        <v>170</v>
      </c>
      <c r="E1458" s="31">
        <v>25277</v>
      </c>
      <c r="F1458" s="29"/>
      <c r="G1458" s="32">
        <v>45643</v>
      </c>
      <c r="H1458" s="29"/>
      <c r="I1458" s="5" t="s">
        <v>86</v>
      </c>
      <c r="J1458" s="5" t="s">
        <v>16</v>
      </c>
      <c r="K1458" s="5" t="s">
        <v>17</v>
      </c>
    </row>
    <row r="1459" spans="1:11" ht="18.75" customHeight="1" x14ac:dyDescent="0.3">
      <c r="A1459" s="30">
        <v>1477</v>
      </c>
      <c r="B1459" s="29"/>
      <c r="C1459" s="5" t="s">
        <v>14</v>
      </c>
      <c r="D1459" s="7">
        <v>266</v>
      </c>
      <c r="E1459" s="31">
        <v>120889</v>
      </c>
      <c r="F1459" s="29"/>
      <c r="G1459" s="32">
        <v>45643</v>
      </c>
      <c r="H1459" s="29"/>
      <c r="I1459" s="5" t="s">
        <v>86</v>
      </c>
      <c r="J1459" s="5" t="s">
        <v>16</v>
      </c>
      <c r="K1459" s="5" t="s">
        <v>17</v>
      </c>
    </row>
    <row r="1460" spans="1:11" ht="18.75" customHeight="1" x14ac:dyDescent="0.3">
      <c r="A1460" s="30">
        <v>1478</v>
      </c>
      <c r="B1460" s="29"/>
      <c r="C1460" s="5" t="s">
        <v>14</v>
      </c>
      <c r="D1460" s="7">
        <v>294</v>
      </c>
      <c r="E1460" s="31">
        <v>25291</v>
      </c>
      <c r="F1460" s="29"/>
      <c r="G1460" s="32">
        <v>45644</v>
      </c>
      <c r="H1460" s="29"/>
      <c r="I1460" s="5" t="s">
        <v>86</v>
      </c>
      <c r="J1460" s="5" t="s">
        <v>16</v>
      </c>
      <c r="K1460" s="5" t="s">
        <v>17</v>
      </c>
    </row>
    <row r="1461" spans="1:11" ht="18.75" customHeight="1" x14ac:dyDescent="0.3">
      <c r="A1461" s="30">
        <v>1479</v>
      </c>
      <c r="B1461" s="29"/>
      <c r="C1461" s="5" t="s">
        <v>14</v>
      </c>
      <c r="D1461" s="7">
        <v>264</v>
      </c>
      <c r="E1461" s="31">
        <v>25304</v>
      </c>
      <c r="F1461" s="29"/>
      <c r="G1461" s="32">
        <v>45645</v>
      </c>
      <c r="H1461" s="29"/>
      <c r="I1461" s="5" t="s">
        <v>86</v>
      </c>
      <c r="J1461" s="5" t="s">
        <v>16</v>
      </c>
      <c r="K1461" s="5" t="s">
        <v>17</v>
      </c>
    </row>
    <row r="1462" spans="1:11" ht="18.75" customHeight="1" x14ac:dyDescent="0.3">
      <c r="A1462" s="30">
        <v>1480</v>
      </c>
      <c r="B1462" s="29"/>
      <c r="C1462" s="5" t="s">
        <v>14</v>
      </c>
      <c r="D1462" s="7">
        <v>262</v>
      </c>
      <c r="E1462" s="31">
        <v>25330</v>
      </c>
      <c r="F1462" s="29"/>
      <c r="G1462" s="32">
        <v>45646</v>
      </c>
      <c r="H1462" s="29"/>
      <c r="I1462" s="5" t="s">
        <v>86</v>
      </c>
      <c r="J1462" s="5" t="s">
        <v>16</v>
      </c>
      <c r="K1462" s="5" t="s">
        <v>17</v>
      </c>
    </row>
    <row r="1463" spans="1:11" ht="18.75" customHeight="1" x14ac:dyDescent="0.3">
      <c r="A1463" s="30">
        <v>1481</v>
      </c>
      <c r="B1463" s="29"/>
      <c r="C1463" s="5" t="s">
        <v>14</v>
      </c>
      <c r="D1463" s="7">
        <v>207</v>
      </c>
      <c r="E1463" s="31">
        <v>25353</v>
      </c>
      <c r="F1463" s="29"/>
      <c r="G1463" s="32">
        <v>45647</v>
      </c>
      <c r="H1463" s="29"/>
      <c r="I1463" s="5" t="s">
        <v>86</v>
      </c>
      <c r="J1463" s="5" t="s">
        <v>16</v>
      </c>
      <c r="K1463" s="5" t="s">
        <v>17</v>
      </c>
    </row>
    <row r="1464" spans="1:11" ht="18.75" customHeight="1" x14ac:dyDescent="0.3">
      <c r="A1464" s="30">
        <v>1482</v>
      </c>
      <c r="B1464" s="29"/>
      <c r="C1464" s="5" t="s">
        <v>14</v>
      </c>
      <c r="D1464" s="7">
        <v>245</v>
      </c>
      <c r="E1464" s="31">
        <v>25259</v>
      </c>
      <c r="F1464" s="29"/>
      <c r="G1464" s="32">
        <v>45642</v>
      </c>
      <c r="H1464" s="29"/>
      <c r="I1464" s="5" t="s">
        <v>84</v>
      </c>
      <c r="J1464" s="5" t="s">
        <v>85</v>
      </c>
      <c r="K1464" s="5" t="s">
        <v>91</v>
      </c>
    </row>
    <row r="1465" spans="1:11" ht="18.75" customHeight="1" x14ac:dyDescent="0.3">
      <c r="A1465" s="30">
        <v>1483</v>
      </c>
      <c r="B1465" s="29"/>
      <c r="C1465" s="5" t="s">
        <v>14</v>
      </c>
      <c r="D1465" s="7">
        <v>198</v>
      </c>
      <c r="E1465" s="31">
        <v>25276</v>
      </c>
      <c r="F1465" s="29"/>
      <c r="G1465" s="32">
        <v>45643</v>
      </c>
      <c r="H1465" s="29"/>
      <c r="I1465" s="5" t="s">
        <v>84</v>
      </c>
      <c r="J1465" s="5" t="s">
        <v>85</v>
      </c>
      <c r="K1465" s="5" t="s">
        <v>91</v>
      </c>
    </row>
    <row r="1466" spans="1:11" ht="18.75" customHeight="1" x14ac:dyDescent="0.3">
      <c r="A1466" s="30">
        <v>1484</v>
      </c>
      <c r="B1466" s="29"/>
      <c r="C1466" s="5" t="s">
        <v>14</v>
      </c>
      <c r="D1466" s="7">
        <f>175+46</f>
        <v>221</v>
      </c>
      <c r="E1466" s="31">
        <v>120886</v>
      </c>
      <c r="F1466" s="29"/>
      <c r="G1466" s="32">
        <v>45643</v>
      </c>
      <c r="H1466" s="29"/>
      <c r="I1466" s="5" t="s">
        <v>84</v>
      </c>
      <c r="J1466" s="5" t="s">
        <v>85</v>
      </c>
      <c r="K1466" s="5" t="s">
        <v>91</v>
      </c>
    </row>
    <row r="1467" spans="1:11" ht="18.75" customHeight="1" x14ac:dyDescent="0.3">
      <c r="A1467" s="30">
        <v>1485</v>
      </c>
      <c r="B1467" s="29"/>
      <c r="C1467" s="5" t="s">
        <v>14</v>
      </c>
      <c r="D1467" s="7">
        <v>202</v>
      </c>
      <c r="E1467" s="31">
        <v>25292</v>
      </c>
      <c r="F1467" s="29"/>
      <c r="G1467" s="32">
        <v>45644</v>
      </c>
      <c r="H1467" s="29"/>
      <c r="I1467" s="5" t="s">
        <v>84</v>
      </c>
      <c r="J1467" s="5" t="s">
        <v>85</v>
      </c>
      <c r="K1467" s="5" t="s">
        <v>91</v>
      </c>
    </row>
    <row r="1468" spans="1:11" ht="18.75" customHeight="1" x14ac:dyDescent="0.3">
      <c r="A1468" s="30">
        <v>1486</v>
      </c>
      <c r="B1468" s="29"/>
      <c r="C1468" s="5" t="s">
        <v>14</v>
      </c>
      <c r="D1468" s="7">
        <v>245</v>
      </c>
      <c r="E1468" s="31">
        <v>25325</v>
      </c>
      <c r="F1468" s="29"/>
      <c r="G1468" s="32">
        <v>45646</v>
      </c>
      <c r="H1468" s="29"/>
      <c r="I1468" s="5" t="s">
        <v>84</v>
      </c>
      <c r="J1468" s="5" t="s">
        <v>85</v>
      </c>
      <c r="K1468" s="5" t="s">
        <v>91</v>
      </c>
    </row>
    <row r="1469" spans="1:11" ht="18.75" customHeight="1" x14ac:dyDescent="0.3">
      <c r="A1469" s="30">
        <v>1487</v>
      </c>
      <c r="B1469" s="29"/>
      <c r="C1469" s="5" t="s">
        <v>14</v>
      </c>
      <c r="D1469" s="7">
        <v>232</v>
      </c>
      <c r="E1469" s="31">
        <v>25254</v>
      </c>
      <c r="F1469" s="29"/>
      <c r="G1469" s="32">
        <v>45641</v>
      </c>
      <c r="H1469" s="29"/>
      <c r="I1469" s="5" t="s">
        <v>28</v>
      </c>
      <c r="J1469" s="5" t="s">
        <v>66</v>
      </c>
      <c r="K1469" s="5" t="s">
        <v>30</v>
      </c>
    </row>
    <row r="1470" spans="1:11" ht="18.75" customHeight="1" x14ac:dyDescent="0.3">
      <c r="A1470" s="30">
        <v>1488</v>
      </c>
      <c r="B1470" s="29"/>
      <c r="C1470" s="5" t="s">
        <v>14</v>
      </c>
      <c r="D1470" s="7">
        <v>238</v>
      </c>
      <c r="E1470" s="31">
        <v>25258</v>
      </c>
      <c r="F1470" s="29"/>
      <c r="G1470" s="32">
        <v>45642</v>
      </c>
      <c r="H1470" s="29"/>
      <c r="I1470" s="5" t="s">
        <v>28</v>
      </c>
      <c r="J1470" s="5" t="s">
        <v>66</v>
      </c>
      <c r="K1470" s="5" t="s">
        <v>30</v>
      </c>
    </row>
    <row r="1471" spans="1:11" ht="18.75" customHeight="1" x14ac:dyDescent="0.3">
      <c r="A1471" s="30">
        <v>1489</v>
      </c>
      <c r="B1471" s="29"/>
      <c r="C1471" s="5" t="s">
        <v>14</v>
      </c>
      <c r="D1471" s="7">
        <v>205</v>
      </c>
      <c r="E1471" s="31">
        <v>25278</v>
      </c>
      <c r="F1471" s="29"/>
      <c r="G1471" s="32">
        <v>45643</v>
      </c>
      <c r="H1471" s="29"/>
      <c r="I1471" s="5" t="s">
        <v>28</v>
      </c>
      <c r="J1471" s="5" t="s">
        <v>66</v>
      </c>
      <c r="K1471" s="5" t="s">
        <v>30</v>
      </c>
    </row>
    <row r="1472" spans="1:11" ht="18.75" customHeight="1" x14ac:dyDescent="0.3">
      <c r="A1472" s="30">
        <v>1490</v>
      </c>
      <c r="B1472" s="29"/>
      <c r="C1472" s="5" t="s">
        <v>14</v>
      </c>
      <c r="D1472" s="7">
        <v>200</v>
      </c>
      <c r="E1472" s="31">
        <v>120880</v>
      </c>
      <c r="F1472" s="29"/>
      <c r="G1472" s="32">
        <v>45643</v>
      </c>
      <c r="H1472" s="29"/>
      <c r="I1472" s="5" t="s">
        <v>28</v>
      </c>
      <c r="J1472" s="5" t="s">
        <v>66</v>
      </c>
      <c r="K1472" s="5" t="s">
        <v>30</v>
      </c>
    </row>
    <row r="1473" spans="1:11" ht="18.75" customHeight="1" x14ac:dyDescent="0.3">
      <c r="A1473" s="30">
        <v>1491</v>
      </c>
      <c r="B1473" s="29"/>
      <c r="C1473" s="5" t="s">
        <v>14</v>
      </c>
      <c r="D1473" s="7">
        <v>205</v>
      </c>
      <c r="E1473" s="31">
        <v>25296</v>
      </c>
      <c r="F1473" s="29"/>
      <c r="G1473" s="32">
        <v>45644</v>
      </c>
      <c r="H1473" s="29"/>
      <c r="I1473" s="5" t="s">
        <v>28</v>
      </c>
      <c r="J1473" s="5" t="s">
        <v>66</v>
      </c>
      <c r="K1473" s="5" t="s">
        <v>30</v>
      </c>
    </row>
    <row r="1474" spans="1:11" ht="18.75" customHeight="1" x14ac:dyDescent="0.3">
      <c r="A1474" s="30">
        <v>1492</v>
      </c>
      <c r="B1474" s="29"/>
      <c r="C1474" s="5" t="s">
        <v>14</v>
      </c>
      <c r="D1474" s="7">
        <f>292+43</f>
        <v>335</v>
      </c>
      <c r="E1474" s="31">
        <v>120011</v>
      </c>
      <c r="F1474" s="29"/>
      <c r="G1474" s="32">
        <v>45644</v>
      </c>
      <c r="H1474" s="29"/>
      <c r="I1474" s="5" t="s">
        <v>28</v>
      </c>
      <c r="J1474" s="5" t="s">
        <v>66</v>
      </c>
      <c r="K1474" s="5" t="s">
        <v>30</v>
      </c>
    </row>
    <row r="1475" spans="1:11" ht="18.75" customHeight="1" x14ac:dyDescent="0.3">
      <c r="A1475" s="30">
        <v>1493</v>
      </c>
      <c r="B1475" s="29"/>
      <c r="C1475" s="5" t="s">
        <v>14</v>
      </c>
      <c r="D1475" s="7">
        <v>233</v>
      </c>
      <c r="E1475" s="31">
        <v>25307</v>
      </c>
      <c r="F1475" s="29"/>
      <c r="G1475" s="32">
        <v>45645</v>
      </c>
      <c r="H1475" s="29"/>
      <c r="I1475" s="5" t="s">
        <v>28</v>
      </c>
      <c r="J1475" s="5" t="s">
        <v>66</v>
      </c>
      <c r="K1475" s="5" t="s">
        <v>30</v>
      </c>
    </row>
    <row r="1476" spans="1:11" ht="18.75" customHeight="1" x14ac:dyDescent="0.3">
      <c r="A1476" s="30">
        <v>1494</v>
      </c>
      <c r="B1476" s="29"/>
      <c r="C1476" s="5" t="s">
        <v>14</v>
      </c>
      <c r="D1476" s="7">
        <v>194</v>
      </c>
      <c r="E1476" s="31">
        <v>25326</v>
      </c>
      <c r="F1476" s="29"/>
      <c r="G1476" s="32">
        <v>45646</v>
      </c>
      <c r="H1476" s="29"/>
      <c r="I1476" s="5" t="s">
        <v>28</v>
      </c>
      <c r="J1476" s="5" t="s">
        <v>66</v>
      </c>
      <c r="K1476" s="5" t="s">
        <v>30</v>
      </c>
    </row>
    <row r="1477" spans="1:11" ht="18.75" customHeight="1" x14ac:dyDescent="0.3">
      <c r="A1477" s="30">
        <v>1495</v>
      </c>
      <c r="B1477" s="29"/>
      <c r="C1477" s="5" t="s">
        <v>14</v>
      </c>
      <c r="D1477" s="7">
        <v>310</v>
      </c>
      <c r="E1477" s="31">
        <v>25307</v>
      </c>
      <c r="F1477" s="29"/>
      <c r="G1477" s="32">
        <v>45647</v>
      </c>
      <c r="H1477" s="29"/>
      <c r="I1477" s="5" t="s">
        <v>28</v>
      </c>
      <c r="J1477" s="5" t="s">
        <v>66</v>
      </c>
      <c r="K1477" s="5" t="s">
        <v>30</v>
      </c>
    </row>
    <row r="1478" spans="1:11" ht="18.75" customHeight="1" x14ac:dyDescent="0.3">
      <c r="A1478" s="30">
        <v>1496</v>
      </c>
      <c r="B1478" s="29"/>
      <c r="C1478" s="5" t="s">
        <v>14</v>
      </c>
      <c r="D1478" s="7">
        <v>155</v>
      </c>
      <c r="E1478" s="31">
        <v>120073</v>
      </c>
      <c r="F1478" s="29"/>
      <c r="G1478" s="32">
        <v>45646</v>
      </c>
      <c r="H1478" s="29"/>
      <c r="I1478" s="5" t="s">
        <v>28</v>
      </c>
      <c r="J1478" s="5" t="s">
        <v>66</v>
      </c>
      <c r="K1478" s="5" t="s">
        <v>30</v>
      </c>
    </row>
    <row r="1479" spans="1:11" ht="18.75" customHeight="1" x14ac:dyDescent="0.3">
      <c r="A1479" s="30">
        <v>1497</v>
      </c>
      <c r="B1479" s="29"/>
      <c r="C1479" s="5" t="s">
        <v>14</v>
      </c>
      <c r="D1479" s="7">
        <v>319</v>
      </c>
      <c r="E1479" s="31">
        <v>120678</v>
      </c>
      <c r="F1479" s="29"/>
      <c r="G1479" s="32">
        <v>45633</v>
      </c>
      <c r="H1479" s="29"/>
      <c r="I1479" s="5" t="s">
        <v>86</v>
      </c>
      <c r="J1479" s="5" t="s">
        <v>16</v>
      </c>
      <c r="K1479" s="5"/>
    </row>
    <row r="1480" spans="1:11" ht="18.75" customHeight="1" x14ac:dyDescent="0.3">
      <c r="A1480" s="30">
        <v>1498</v>
      </c>
      <c r="B1480" s="29"/>
      <c r="C1480" s="5" t="s">
        <v>14</v>
      </c>
      <c r="D1480" s="7">
        <v>348</v>
      </c>
      <c r="E1480" s="31">
        <v>25382</v>
      </c>
      <c r="F1480" s="29"/>
      <c r="G1480" s="32">
        <v>45649</v>
      </c>
      <c r="H1480" s="29"/>
      <c r="I1480" s="5" t="s">
        <v>86</v>
      </c>
      <c r="J1480" s="5" t="s">
        <v>16</v>
      </c>
      <c r="K1480" s="5"/>
    </row>
    <row r="1481" spans="1:11" ht="18.75" customHeight="1" x14ac:dyDescent="0.3">
      <c r="A1481" s="30">
        <v>1499</v>
      </c>
      <c r="B1481" s="29"/>
      <c r="C1481" s="5" t="s">
        <v>14</v>
      </c>
      <c r="D1481" s="7">
        <v>364</v>
      </c>
      <c r="E1481" s="31">
        <v>25341</v>
      </c>
      <c r="F1481" s="29"/>
      <c r="G1481" s="32">
        <v>45650</v>
      </c>
      <c r="H1481" s="29"/>
      <c r="I1481" s="5" t="s">
        <v>86</v>
      </c>
      <c r="J1481" s="5" t="s">
        <v>16</v>
      </c>
      <c r="K1481" s="5"/>
    </row>
    <row r="1482" spans="1:11" ht="18.75" customHeight="1" x14ac:dyDescent="0.3">
      <c r="A1482" s="30">
        <v>1500</v>
      </c>
      <c r="B1482" s="29"/>
      <c r="C1482" s="5" t="s">
        <v>14</v>
      </c>
      <c r="D1482" s="7">
        <v>298</v>
      </c>
      <c r="E1482" s="31">
        <v>25388</v>
      </c>
      <c r="F1482" s="29"/>
      <c r="G1482" s="32">
        <v>45652</v>
      </c>
      <c r="H1482" s="29"/>
      <c r="I1482" s="5" t="s">
        <v>86</v>
      </c>
      <c r="J1482" s="5" t="s">
        <v>16</v>
      </c>
      <c r="K1482" s="5"/>
    </row>
    <row r="1483" spans="1:11" ht="18.75" customHeight="1" x14ac:dyDescent="0.3">
      <c r="A1483" s="30">
        <v>1501</v>
      </c>
      <c r="B1483" s="29"/>
      <c r="C1483" s="5" t="s">
        <v>14</v>
      </c>
      <c r="D1483" s="7">
        <v>156</v>
      </c>
      <c r="E1483" s="31">
        <v>25404</v>
      </c>
      <c r="F1483" s="29"/>
      <c r="G1483" s="32">
        <v>45653</v>
      </c>
      <c r="H1483" s="29"/>
      <c r="I1483" s="5" t="s">
        <v>86</v>
      </c>
      <c r="J1483" s="5" t="s">
        <v>16</v>
      </c>
      <c r="K1483" s="5"/>
    </row>
    <row r="1484" spans="1:11" ht="18.75" customHeight="1" x14ac:dyDescent="0.3">
      <c r="A1484" s="30">
        <v>1502</v>
      </c>
      <c r="B1484" s="29"/>
      <c r="C1484" s="5" t="s">
        <v>14</v>
      </c>
      <c r="D1484" s="7">
        <v>308</v>
      </c>
      <c r="E1484" s="31">
        <v>25449</v>
      </c>
      <c r="F1484" s="29"/>
      <c r="G1484" s="32">
        <v>45654</v>
      </c>
      <c r="H1484" s="29"/>
      <c r="I1484" s="5" t="s">
        <v>86</v>
      </c>
      <c r="J1484" s="5" t="s">
        <v>16</v>
      </c>
      <c r="K1484" s="5"/>
    </row>
    <row r="1485" spans="1:11" ht="18.75" customHeight="1" x14ac:dyDescent="0.3">
      <c r="A1485" s="30">
        <v>1503</v>
      </c>
      <c r="B1485" s="29"/>
      <c r="C1485" s="5" t="s">
        <v>14</v>
      </c>
      <c r="D1485" s="7">
        <f>329+39</f>
        <v>368</v>
      </c>
      <c r="E1485" s="31">
        <v>120163</v>
      </c>
      <c r="F1485" s="29"/>
      <c r="G1485" s="32">
        <v>45650</v>
      </c>
      <c r="H1485" s="29"/>
      <c r="I1485" s="5" t="s">
        <v>86</v>
      </c>
      <c r="J1485" s="5" t="s">
        <v>16</v>
      </c>
      <c r="K1485" s="5"/>
    </row>
    <row r="1486" spans="1:11" ht="18.75" customHeight="1" x14ac:dyDescent="0.3">
      <c r="A1486" s="30">
        <v>1504</v>
      </c>
      <c r="B1486" s="29"/>
      <c r="C1486" s="5" t="s">
        <v>14</v>
      </c>
      <c r="D1486" s="7">
        <v>234</v>
      </c>
      <c r="E1486" s="31">
        <v>120241</v>
      </c>
      <c r="F1486" s="29"/>
      <c r="G1486" s="32">
        <v>45653</v>
      </c>
      <c r="H1486" s="29"/>
      <c r="I1486" s="5" t="s">
        <v>86</v>
      </c>
      <c r="J1486" s="5" t="s">
        <v>16</v>
      </c>
      <c r="K1486" s="5"/>
    </row>
    <row r="1487" spans="1:11" ht="18.75" customHeight="1" x14ac:dyDescent="0.3">
      <c r="A1487" s="30">
        <v>1505</v>
      </c>
      <c r="B1487" s="29"/>
      <c r="C1487" s="5" t="s">
        <v>14</v>
      </c>
      <c r="D1487" s="7">
        <v>322</v>
      </c>
      <c r="E1487" s="31">
        <v>25379</v>
      </c>
      <c r="F1487" s="29"/>
      <c r="G1487" s="32">
        <v>45649</v>
      </c>
      <c r="H1487" s="29"/>
      <c r="I1487" s="5" t="s">
        <v>84</v>
      </c>
      <c r="J1487" s="5" t="s">
        <v>85</v>
      </c>
      <c r="K1487" s="5" t="s">
        <v>91</v>
      </c>
    </row>
    <row r="1488" spans="1:11" ht="18.75" customHeight="1" x14ac:dyDescent="0.3">
      <c r="A1488" s="30">
        <v>1506</v>
      </c>
      <c r="B1488" s="29"/>
      <c r="C1488" s="5" t="s">
        <v>14</v>
      </c>
      <c r="D1488" s="7">
        <v>441</v>
      </c>
      <c r="E1488" s="31">
        <v>25346</v>
      </c>
      <c r="F1488" s="29"/>
      <c r="G1488" s="32">
        <v>45650</v>
      </c>
      <c r="H1488" s="29"/>
      <c r="I1488" s="5" t="s">
        <v>84</v>
      </c>
      <c r="J1488" s="5" t="s">
        <v>85</v>
      </c>
      <c r="K1488" s="5" t="s">
        <v>91</v>
      </c>
    </row>
    <row r="1489" spans="1:11" ht="18.75" customHeight="1" x14ac:dyDescent="0.3">
      <c r="A1489" s="30">
        <v>1507</v>
      </c>
      <c r="B1489" s="29"/>
      <c r="C1489" s="5" t="s">
        <v>14</v>
      </c>
      <c r="D1489" s="7">
        <v>264</v>
      </c>
      <c r="E1489" s="31">
        <v>25391</v>
      </c>
      <c r="F1489" s="29"/>
      <c r="G1489" s="32">
        <v>45652</v>
      </c>
      <c r="H1489" s="29"/>
      <c r="I1489" s="5" t="s">
        <v>84</v>
      </c>
      <c r="J1489" s="5" t="s">
        <v>85</v>
      </c>
      <c r="K1489" s="5" t="s">
        <v>91</v>
      </c>
    </row>
    <row r="1490" spans="1:11" ht="18.75" customHeight="1" x14ac:dyDescent="0.3">
      <c r="A1490" s="30">
        <v>1508</v>
      </c>
      <c r="B1490" s="29"/>
      <c r="C1490" s="5" t="s">
        <v>14</v>
      </c>
      <c r="D1490" s="7">
        <v>157</v>
      </c>
      <c r="E1490" s="31">
        <v>25404</v>
      </c>
      <c r="F1490" s="29"/>
      <c r="G1490" s="32">
        <v>45653</v>
      </c>
      <c r="H1490" s="29"/>
      <c r="I1490" s="5" t="s">
        <v>84</v>
      </c>
      <c r="J1490" s="5" t="s">
        <v>85</v>
      </c>
      <c r="K1490" s="5" t="s">
        <v>91</v>
      </c>
    </row>
    <row r="1491" spans="1:11" ht="18.75" customHeight="1" x14ac:dyDescent="0.3">
      <c r="A1491" s="30">
        <v>1509</v>
      </c>
      <c r="B1491" s="29"/>
      <c r="C1491" s="5" t="s">
        <v>14</v>
      </c>
      <c r="D1491" s="7">
        <v>121</v>
      </c>
      <c r="E1491" s="31">
        <v>120162</v>
      </c>
      <c r="F1491" s="29"/>
      <c r="G1491" s="32">
        <v>45650</v>
      </c>
      <c r="H1491" s="29"/>
      <c r="I1491" s="5" t="s">
        <v>84</v>
      </c>
      <c r="J1491" s="5" t="s">
        <v>85</v>
      </c>
      <c r="K1491" s="5" t="s">
        <v>91</v>
      </c>
    </row>
    <row r="1492" spans="1:11" ht="18.75" customHeight="1" x14ac:dyDescent="0.3">
      <c r="A1492" s="30">
        <v>1510</v>
      </c>
      <c r="B1492" s="29"/>
      <c r="C1492" s="5" t="s">
        <v>14</v>
      </c>
      <c r="D1492" s="7">
        <v>378</v>
      </c>
      <c r="E1492" s="31">
        <v>25347</v>
      </c>
      <c r="F1492" s="29"/>
      <c r="G1492" s="32">
        <v>45650</v>
      </c>
      <c r="H1492" s="29"/>
      <c r="I1492" s="5" t="s">
        <v>28</v>
      </c>
      <c r="J1492" s="5" t="s">
        <v>66</v>
      </c>
      <c r="K1492" s="5"/>
    </row>
    <row r="1493" spans="1:11" ht="18.75" customHeight="1" x14ac:dyDescent="0.3">
      <c r="A1493" s="30">
        <v>1511</v>
      </c>
      <c r="B1493" s="29"/>
      <c r="C1493" s="5" t="s">
        <v>14</v>
      </c>
      <c r="D1493" s="7">
        <v>200</v>
      </c>
      <c r="E1493" s="31">
        <v>25349</v>
      </c>
      <c r="F1493" s="29"/>
      <c r="G1493" s="32">
        <v>45652</v>
      </c>
      <c r="H1493" s="29"/>
      <c r="I1493" s="5" t="s">
        <v>28</v>
      </c>
      <c r="J1493" s="5" t="s">
        <v>66</v>
      </c>
      <c r="K1493" s="5"/>
    </row>
    <row r="1494" spans="1:11" ht="18.75" customHeight="1" x14ac:dyDescent="0.3">
      <c r="A1494" s="30">
        <v>1512</v>
      </c>
      <c r="B1494" s="29"/>
      <c r="C1494" s="5" t="s">
        <v>14</v>
      </c>
      <c r="D1494" s="7">
        <v>407</v>
      </c>
      <c r="E1494" s="31">
        <v>25407</v>
      </c>
      <c r="F1494" s="29"/>
      <c r="G1494" s="32">
        <v>45654</v>
      </c>
      <c r="H1494" s="29"/>
      <c r="I1494" s="5" t="s">
        <v>28</v>
      </c>
      <c r="J1494" s="5" t="s">
        <v>66</v>
      </c>
      <c r="K1494" s="5"/>
    </row>
    <row r="1495" spans="1:11" ht="18.75" customHeight="1" x14ac:dyDescent="0.3">
      <c r="A1495" s="30">
        <v>1513</v>
      </c>
      <c r="B1495" s="29"/>
      <c r="C1495" s="5" t="s">
        <v>14</v>
      </c>
      <c r="D1495" s="7">
        <v>276</v>
      </c>
      <c r="E1495" s="31">
        <v>120265</v>
      </c>
      <c r="F1495" s="29"/>
      <c r="G1495" s="32">
        <v>45649</v>
      </c>
      <c r="H1495" s="29"/>
      <c r="I1495" s="5" t="s">
        <v>28</v>
      </c>
      <c r="J1495" s="5" t="s">
        <v>66</v>
      </c>
      <c r="K1495" s="5"/>
    </row>
    <row r="1496" spans="1:11" ht="18.75" customHeight="1" x14ac:dyDescent="0.3">
      <c r="A1496" s="30">
        <v>1514</v>
      </c>
      <c r="B1496" s="29"/>
      <c r="C1496" s="5" t="s">
        <v>14</v>
      </c>
      <c r="D1496" s="7">
        <v>319</v>
      </c>
      <c r="E1496" s="31">
        <v>120233</v>
      </c>
      <c r="F1496" s="29"/>
      <c r="G1496" s="32">
        <v>45653</v>
      </c>
      <c r="H1496" s="29"/>
      <c r="I1496" s="5" t="s">
        <v>28</v>
      </c>
      <c r="J1496" s="5" t="s">
        <v>66</v>
      </c>
      <c r="K1496" s="5"/>
    </row>
    <row r="1497" spans="1:11" ht="18.75" customHeight="1" x14ac:dyDescent="0.3">
      <c r="A1497" s="30">
        <v>1515</v>
      </c>
      <c r="B1497" s="29"/>
      <c r="C1497" s="5" t="s">
        <v>40</v>
      </c>
      <c r="D1497" s="7">
        <v>500</v>
      </c>
      <c r="E1497" s="31">
        <v>140052</v>
      </c>
      <c r="F1497" s="29"/>
      <c r="G1497" s="32">
        <v>45648</v>
      </c>
      <c r="H1497" s="29"/>
      <c r="I1497" s="5" t="s">
        <v>15</v>
      </c>
      <c r="J1497" s="5" t="s">
        <v>30</v>
      </c>
      <c r="K1497" s="5"/>
    </row>
    <row r="1498" spans="1:11" ht="18.75" customHeight="1" x14ac:dyDescent="0.3">
      <c r="A1498" s="30">
        <v>1516</v>
      </c>
      <c r="B1498" s="29"/>
      <c r="C1498" s="5" t="s">
        <v>40</v>
      </c>
      <c r="D1498" s="7">
        <v>650</v>
      </c>
      <c r="E1498" s="31">
        <v>140054</v>
      </c>
      <c r="F1498" s="29"/>
      <c r="G1498" s="32">
        <v>45648</v>
      </c>
      <c r="H1498" s="29"/>
      <c r="I1498" s="5" t="s">
        <v>15</v>
      </c>
      <c r="J1498" s="5" t="s">
        <v>30</v>
      </c>
      <c r="K1498" s="5"/>
    </row>
    <row r="1499" spans="1:11" ht="18.75" customHeight="1" x14ac:dyDescent="0.3">
      <c r="A1499" s="30">
        <v>1517</v>
      </c>
      <c r="B1499" s="29"/>
      <c r="C1499" s="5" t="s">
        <v>40</v>
      </c>
      <c r="D1499" s="7">
        <v>500</v>
      </c>
      <c r="E1499" s="31">
        <v>141680</v>
      </c>
      <c r="F1499" s="29"/>
      <c r="G1499" s="32">
        <v>45649</v>
      </c>
      <c r="H1499" s="29"/>
      <c r="I1499" s="5" t="s">
        <v>15</v>
      </c>
      <c r="J1499" s="5" t="s">
        <v>30</v>
      </c>
      <c r="K1499" s="5"/>
    </row>
    <row r="1500" spans="1:11" ht="18.75" customHeight="1" x14ac:dyDescent="0.3">
      <c r="A1500" s="30">
        <v>1518</v>
      </c>
      <c r="B1500" s="29"/>
      <c r="C1500" s="5" t="s">
        <v>40</v>
      </c>
      <c r="D1500" s="7">
        <v>500</v>
      </c>
      <c r="E1500" s="31">
        <v>141695</v>
      </c>
      <c r="F1500" s="29"/>
      <c r="G1500" s="32">
        <v>45653</v>
      </c>
      <c r="H1500" s="29"/>
      <c r="I1500" s="5" t="s">
        <v>15</v>
      </c>
      <c r="J1500" s="5" t="s">
        <v>30</v>
      </c>
      <c r="K1500" s="5"/>
    </row>
    <row r="1501" spans="1:11" ht="18.75" customHeight="1" x14ac:dyDescent="0.3">
      <c r="A1501" s="30">
        <v>1519</v>
      </c>
      <c r="B1501" s="29"/>
      <c r="C1501" s="5" t="s">
        <v>40</v>
      </c>
      <c r="D1501" s="7">
        <v>500</v>
      </c>
      <c r="E1501" s="31">
        <v>141691</v>
      </c>
      <c r="F1501" s="29"/>
      <c r="G1501" s="32">
        <v>45653</v>
      </c>
      <c r="H1501" s="29"/>
      <c r="I1501" s="5" t="s">
        <v>15</v>
      </c>
      <c r="J1501" s="5" t="s">
        <v>30</v>
      </c>
      <c r="K1501" s="5"/>
    </row>
    <row r="1502" spans="1:11" ht="18.75" customHeight="1" x14ac:dyDescent="0.3">
      <c r="A1502" s="30">
        <v>1520</v>
      </c>
      <c r="B1502" s="29"/>
      <c r="C1502" s="5" t="s">
        <v>40</v>
      </c>
      <c r="D1502" s="7">
        <v>500</v>
      </c>
      <c r="E1502" s="31">
        <v>141698</v>
      </c>
      <c r="F1502" s="29"/>
      <c r="G1502" s="32">
        <v>45654</v>
      </c>
      <c r="H1502" s="29"/>
      <c r="I1502" s="5" t="s">
        <v>15</v>
      </c>
      <c r="J1502" s="5" t="s">
        <v>30</v>
      </c>
      <c r="K1502" s="5"/>
    </row>
    <row r="1503" spans="1:11" ht="18.75" customHeight="1" x14ac:dyDescent="0.3">
      <c r="A1503" s="30">
        <v>1521</v>
      </c>
      <c r="B1503" s="29"/>
      <c r="C1503" s="5" t="s">
        <v>40</v>
      </c>
      <c r="D1503" s="7">
        <v>500</v>
      </c>
      <c r="E1503" s="31">
        <v>141700</v>
      </c>
      <c r="F1503" s="29"/>
      <c r="G1503" s="32">
        <v>45654</v>
      </c>
      <c r="H1503" s="29"/>
      <c r="I1503" s="5" t="s">
        <v>15</v>
      </c>
      <c r="J1503" s="5" t="s">
        <v>30</v>
      </c>
      <c r="K1503" s="5"/>
    </row>
    <row r="1504" spans="1:11" ht="18.75" customHeight="1" x14ac:dyDescent="0.3">
      <c r="A1504" s="30">
        <v>1522</v>
      </c>
      <c r="B1504" s="29"/>
      <c r="C1504" s="5" t="s">
        <v>40</v>
      </c>
      <c r="D1504" s="7">
        <v>400</v>
      </c>
      <c r="E1504" s="31">
        <v>141675</v>
      </c>
      <c r="F1504" s="29"/>
      <c r="G1504" s="32">
        <v>45648</v>
      </c>
      <c r="H1504" s="29"/>
      <c r="I1504" s="5" t="s">
        <v>28</v>
      </c>
      <c r="J1504" s="5" t="s">
        <v>66</v>
      </c>
      <c r="K1504" s="5"/>
    </row>
    <row r="1505" spans="1:11" ht="18.75" customHeight="1" x14ac:dyDescent="0.3">
      <c r="A1505" s="30">
        <v>1523</v>
      </c>
      <c r="B1505" s="29"/>
      <c r="C1505" s="5" t="s">
        <v>40</v>
      </c>
      <c r="D1505" s="7">
        <v>400</v>
      </c>
      <c r="E1505" s="31">
        <v>138851</v>
      </c>
      <c r="F1505" s="29"/>
      <c r="G1505" s="32">
        <v>45649</v>
      </c>
      <c r="H1505" s="29"/>
      <c r="I1505" s="5" t="s">
        <v>28</v>
      </c>
      <c r="J1505" s="5" t="s">
        <v>66</v>
      </c>
      <c r="K1505" s="5"/>
    </row>
    <row r="1506" spans="1:11" ht="18.75" customHeight="1" x14ac:dyDescent="0.3">
      <c r="A1506" s="30">
        <v>1524</v>
      </c>
      <c r="B1506" s="29"/>
      <c r="C1506" s="5" t="s">
        <v>40</v>
      </c>
      <c r="D1506" s="7">
        <v>350</v>
      </c>
      <c r="E1506" s="31">
        <v>141688</v>
      </c>
      <c r="F1506" s="29"/>
      <c r="G1506" s="32">
        <v>45652</v>
      </c>
      <c r="H1506" s="29"/>
      <c r="I1506" s="5" t="s">
        <v>28</v>
      </c>
      <c r="J1506" s="5" t="s">
        <v>66</v>
      </c>
      <c r="K1506" s="5"/>
    </row>
    <row r="1507" spans="1:11" ht="18.75" customHeight="1" x14ac:dyDescent="0.3">
      <c r="A1507" s="30">
        <v>1525</v>
      </c>
      <c r="B1507" s="29"/>
      <c r="C1507" s="5" t="s">
        <v>14</v>
      </c>
      <c r="D1507" s="7">
        <v>235</v>
      </c>
      <c r="E1507" s="31">
        <v>25434</v>
      </c>
      <c r="F1507" s="29"/>
      <c r="G1507" s="32">
        <v>45655</v>
      </c>
      <c r="H1507" s="29"/>
      <c r="I1507" s="5" t="s">
        <v>54</v>
      </c>
      <c r="J1507" s="5" t="s">
        <v>16</v>
      </c>
      <c r="K1507" s="5" t="s">
        <v>91</v>
      </c>
    </row>
    <row r="1508" spans="1:11" ht="18.75" customHeight="1" x14ac:dyDescent="0.3">
      <c r="A1508" s="30">
        <v>1526</v>
      </c>
      <c r="B1508" s="29"/>
      <c r="C1508" s="5" t="s">
        <v>14</v>
      </c>
      <c r="D1508" s="7">
        <v>242</v>
      </c>
      <c r="E1508" s="31">
        <v>25418</v>
      </c>
      <c r="F1508" s="29"/>
      <c r="G1508" s="32">
        <v>45656</v>
      </c>
      <c r="H1508" s="29"/>
      <c r="I1508" s="5" t="s">
        <v>54</v>
      </c>
      <c r="J1508" s="5" t="s">
        <v>16</v>
      </c>
      <c r="K1508" s="5" t="s">
        <v>91</v>
      </c>
    </row>
    <row r="1509" spans="1:11" ht="18.75" customHeight="1" x14ac:dyDescent="0.3">
      <c r="A1509" s="30">
        <v>1527</v>
      </c>
      <c r="B1509" s="29"/>
      <c r="C1509" s="5" t="s">
        <v>14</v>
      </c>
      <c r="D1509" s="7">
        <v>333</v>
      </c>
      <c r="E1509" s="31">
        <v>25416</v>
      </c>
      <c r="F1509" s="29"/>
      <c r="G1509" s="32">
        <v>45657</v>
      </c>
      <c r="H1509" s="29"/>
      <c r="I1509" s="5" t="s">
        <v>54</v>
      </c>
      <c r="J1509" s="5" t="s">
        <v>16</v>
      </c>
      <c r="K1509" s="5" t="s">
        <v>91</v>
      </c>
    </row>
    <row r="1510" spans="1:11" ht="18.75" customHeight="1" x14ac:dyDescent="0.3">
      <c r="A1510" s="30">
        <v>1528</v>
      </c>
      <c r="B1510" s="29"/>
      <c r="C1510" s="5" t="s">
        <v>14</v>
      </c>
      <c r="D1510" s="7">
        <v>228</v>
      </c>
      <c r="E1510" s="31">
        <v>25457</v>
      </c>
      <c r="F1510" s="29"/>
      <c r="G1510" s="32">
        <v>45659</v>
      </c>
      <c r="H1510" s="29"/>
      <c r="I1510" s="5" t="s">
        <v>54</v>
      </c>
      <c r="J1510" s="5" t="s">
        <v>16</v>
      </c>
      <c r="K1510" s="5" t="s">
        <v>91</v>
      </c>
    </row>
    <row r="1511" spans="1:11" ht="18.75" customHeight="1" x14ac:dyDescent="0.3">
      <c r="A1511" s="30">
        <v>1529</v>
      </c>
      <c r="B1511" s="29"/>
      <c r="C1511" s="5" t="s">
        <v>14</v>
      </c>
      <c r="D1511" s="7">
        <v>166</v>
      </c>
      <c r="E1511" s="31">
        <v>25474</v>
      </c>
      <c r="F1511" s="29"/>
      <c r="G1511" s="32">
        <v>45660</v>
      </c>
      <c r="H1511" s="29"/>
      <c r="I1511" s="5" t="s">
        <v>54</v>
      </c>
      <c r="J1511" s="5" t="s">
        <v>16</v>
      </c>
      <c r="K1511" s="5" t="s">
        <v>91</v>
      </c>
    </row>
    <row r="1512" spans="1:11" ht="18.75" customHeight="1" x14ac:dyDescent="0.3">
      <c r="A1512" s="30">
        <v>1530</v>
      </c>
      <c r="B1512" s="29"/>
      <c r="C1512" s="5" t="s">
        <v>14</v>
      </c>
      <c r="D1512" s="7">
        <v>250</v>
      </c>
      <c r="E1512" s="31">
        <v>25478</v>
      </c>
      <c r="F1512" s="29"/>
      <c r="G1512" s="32">
        <v>45661</v>
      </c>
      <c r="H1512" s="29"/>
      <c r="I1512" s="5" t="s">
        <v>54</v>
      </c>
      <c r="J1512" s="5" t="s">
        <v>16</v>
      </c>
      <c r="K1512" s="5" t="s">
        <v>91</v>
      </c>
    </row>
    <row r="1513" spans="1:11" ht="18.75" customHeight="1" x14ac:dyDescent="0.3">
      <c r="A1513" s="30">
        <v>1531</v>
      </c>
      <c r="B1513" s="29"/>
      <c r="C1513" s="5" t="s">
        <v>14</v>
      </c>
      <c r="D1513" s="7">
        <v>496</v>
      </c>
      <c r="E1513" s="31">
        <v>25426</v>
      </c>
      <c r="F1513" s="29"/>
      <c r="G1513" s="32">
        <v>45655</v>
      </c>
      <c r="H1513" s="29"/>
      <c r="I1513" s="5" t="s">
        <v>54</v>
      </c>
      <c r="J1513" s="5" t="s">
        <v>70</v>
      </c>
      <c r="K1513" s="5" t="s">
        <v>91</v>
      </c>
    </row>
    <row r="1514" spans="1:11" ht="18.75" customHeight="1" x14ac:dyDescent="0.3">
      <c r="A1514" s="30">
        <v>1532</v>
      </c>
      <c r="B1514" s="29"/>
      <c r="C1514" s="5" t="s">
        <v>14</v>
      </c>
      <c r="D1514" s="7">
        <v>294</v>
      </c>
      <c r="E1514" s="31">
        <v>25423</v>
      </c>
      <c r="F1514" s="29"/>
      <c r="G1514" s="32">
        <v>45656</v>
      </c>
      <c r="H1514" s="29"/>
      <c r="I1514" s="5" t="s">
        <v>54</v>
      </c>
      <c r="J1514" s="5" t="s">
        <v>70</v>
      </c>
      <c r="K1514" s="5" t="s">
        <v>91</v>
      </c>
    </row>
    <row r="1515" spans="1:11" ht="18.75" customHeight="1" x14ac:dyDescent="0.3">
      <c r="A1515" s="30">
        <v>1533</v>
      </c>
      <c r="B1515" s="29"/>
      <c r="C1515" s="5" t="s">
        <v>14</v>
      </c>
      <c r="D1515" s="7">
        <v>362</v>
      </c>
      <c r="E1515" s="31">
        <v>25415</v>
      </c>
      <c r="F1515" s="29"/>
      <c r="G1515" s="32">
        <v>45657</v>
      </c>
      <c r="H1515" s="29"/>
      <c r="I1515" s="5" t="s">
        <v>54</v>
      </c>
      <c r="J1515" s="5" t="s">
        <v>70</v>
      </c>
      <c r="K1515" s="5" t="s">
        <v>91</v>
      </c>
    </row>
    <row r="1516" spans="1:11" ht="18.75" customHeight="1" x14ac:dyDescent="0.3">
      <c r="A1516" s="30">
        <v>1534</v>
      </c>
      <c r="B1516" s="29"/>
      <c r="C1516" s="5" t="s">
        <v>14</v>
      </c>
      <c r="D1516" s="7">
        <v>194</v>
      </c>
      <c r="E1516" s="31">
        <v>25458</v>
      </c>
      <c r="F1516" s="29"/>
      <c r="G1516" s="32">
        <v>45659</v>
      </c>
      <c r="H1516" s="29"/>
      <c r="I1516" s="5" t="s">
        <v>54</v>
      </c>
      <c r="J1516" s="5" t="s">
        <v>70</v>
      </c>
      <c r="K1516" s="5" t="s">
        <v>91</v>
      </c>
    </row>
    <row r="1517" spans="1:11" ht="18.75" customHeight="1" x14ac:dyDescent="0.3">
      <c r="A1517" s="30">
        <v>1535</v>
      </c>
      <c r="B1517" s="29"/>
      <c r="C1517" s="5" t="s">
        <v>14</v>
      </c>
      <c r="D1517" s="7">
        <v>436</v>
      </c>
      <c r="E1517" s="31">
        <v>25440</v>
      </c>
      <c r="F1517" s="29"/>
      <c r="G1517" s="32">
        <v>45655</v>
      </c>
      <c r="H1517" s="29"/>
      <c r="I1517" s="5" t="s">
        <v>28</v>
      </c>
      <c r="J1517" s="5" t="s">
        <v>66</v>
      </c>
      <c r="K1517" s="5" t="s">
        <v>30</v>
      </c>
    </row>
    <row r="1518" spans="1:11" ht="18.75" customHeight="1" x14ac:dyDescent="0.3">
      <c r="A1518" s="30">
        <v>1536</v>
      </c>
      <c r="B1518" s="29"/>
      <c r="C1518" s="5" t="s">
        <v>14</v>
      </c>
      <c r="D1518" s="7">
        <v>131</v>
      </c>
      <c r="E1518" s="31">
        <v>120274</v>
      </c>
      <c r="F1518" s="29"/>
      <c r="G1518" s="32">
        <v>45655</v>
      </c>
      <c r="H1518" s="29"/>
      <c r="I1518" s="5" t="s">
        <v>28</v>
      </c>
      <c r="J1518" s="5" t="s">
        <v>66</v>
      </c>
      <c r="K1518" s="5" t="s">
        <v>30</v>
      </c>
    </row>
    <row r="1519" spans="1:11" ht="18.75" customHeight="1" x14ac:dyDescent="0.3">
      <c r="A1519" s="30">
        <v>1537</v>
      </c>
      <c r="B1519" s="29"/>
      <c r="C1519" s="5" t="s">
        <v>14</v>
      </c>
      <c r="D1519" s="7">
        <v>211</v>
      </c>
      <c r="E1519" s="31">
        <v>25425</v>
      </c>
      <c r="F1519" s="29"/>
      <c r="G1519" s="32">
        <v>45656</v>
      </c>
      <c r="H1519" s="29"/>
      <c r="I1519" s="5" t="s">
        <v>28</v>
      </c>
      <c r="J1519" s="5" t="s">
        <v>66</v>
      </c>
      <c r="K1519" s="5" t="s">
        <v>30</v>
      </c>
    </row>
    <row r="1520" spans="1:11" ht="18.75" customHeight="1" x14ac:dyDescent="0.3">
      <c r="A1520" s="30">
        <v>1538</v>
      </c>
      <c r="B1520" s="29"/>
      <c r="C1520" s="5" t="s">
        <v>14</v>
      </c>
      <c r="D1520" s="7">
        <v>364</v>
      </c>
      <c r="E1520" s="31">
        <v>25453</v>
      </c>
      <c r="F1520" s="29"/>
      <c r="G1520" s="32">
        <v>45657</v>
      </c>
      <c r="H1520" s="29"/>
      <c r="I1520" s="5" t="s">
        <v>28</v>
      </c>
      <c r="J1520" s="5" t="s">
        <v>66</v>
      </c>
      <c r="K1520" s="5" t="s">
        <v>30</v>
      </c>
    </row>
    <row r="1521" spans="1:12" ht="18.75" customHeight="1" x14ac:dyDescent="0.3">
      <c r="A1521" s="30">
        <v>1539</v>
      </c>
      <c r="B1521" s="29"/>
      <c r="C1521" s="5" t="s">
        <v>14</v>
      </c>
      <c r="D1521" s="7">
        <v>319</v>
      </c>
      <c r="E1521" s="31">
        <v>25477</v>
      </c>
      <c r="F1521" s="29"/>
      <c r="G1521" s="32">
        <v>45661</v>
      </c>
      <c r="H1521" s="29"/>
      <c r="I1521" s="5" t="s">
        <v>28</v>
      </c>
      <c r="J1521" s="5" t="s">
        <v>66</v>
      </c>
      <c r="K1521" s="5" t="s">
        <v>30</v>
      </c>
    </row>
    <row r="1522" spans="1:12" ht="18.75" customHeight="1" x14ac:dyDescent="0.3">
      <c r="A1522" s="30">
        <v>1540</v>
      </c>
      <c r="B1522" s="29"/>
      <c r="C1522" s="5" t="s">
        <v>14</v>
      </c>
      <c r="D1522" s="7">
        <f>167+45</f>
        <v>212</v>
      </c>
      <c r="E1522" s="31">
        <v>120379</v>
      </c>
      <c r="F1522" s="29"/>
      <c r="G1522" s="32">
        <v>45661</v>
      </c>
      <c r="H1522" s="29"/>
      <c r="I1522" s="5" t="s">
        <v>28</v>
      </c>
      <c r="J1522" s="5" t="s">
        <v>66</v>
      </c>
      <c r="K1522" s="5" t="s">
        <v>30</v>
      </c>
    </row>
    <row r="1523" spans="1:12" ht="18.75" customHeight="1" x14ac:dyDescent="0.3">
      <c r="A1523" s="30">
        <v>1541</v>
      </c>
      <c r="B1523" s="29"/>
      <c r="C1523" s="5" t="s">
        <v>40</v>
      </c>
      <c r="D1523" s="7">
        <v>506</v>
      </c>
      <c r="E1523" s="31">
        <v>141703</v>
      </c>
      <c r="F1523" s="29"/>
      <c r="G1523" s="32">
        <v>45659</v>
      </c>
      <c r="H1523" s="29"/>
      <c r="I1523" s="5" t="s">
        <v>15</v>
      </c>
      <c r="J1523" s="5" t="s">
        <v>30</v>
      </c>
      <c r="K1523" s="5"/>
      <c r="L1523" t="s">
        <v>90</v>
      </c>
    </row>
    <row r="1524" spans="1:12" ht="18.75" customHeight="1" x14ac:dyDescent="0.3">
      <c r="A1524" s="30">
        <v>1542</v>
      </c>
      <c r="B1524" s="29"/>
      <c r="C1524" s="5" t="s">
        <v>40</v>
      </c>
      <c r="D1524" s="7">
        <v>603</v>
      </c>
      <c r="E1524" s="31">
        <v>141708</v>
      </c>
      <c r="F1524" s="29"/>
      <c r="G1524" s="32">
        <v>45660</v>
      </c>
      <c r="H1524" s="29"/>
      <c r="I1524" s="5" t="s">
        <v>15</v>
      </c>
      <c r="J1524" s="5" t="s">
        <v>30</v>
      </c>
      <c r="K1524" s="5"/>
      <c r="L1524" t="s">
        <v>44</v>
      </c>
    </row>
    <row r="1525" spans="1:12" ht="18.75" customHeight="1" x14ac:dyDescent="0.3">
      <c r="A1525" s="30">
        <v>1543</v>
      </c>
      <c r="B1525" s="29"/>
      <c r="C1525" s="5" t="s">
        <v>40</v>
      </c>
      <c r="D1525" s="7">
        <v>700</v>
      </c>
      <c r="E1525" s="31">
        <v>138859</v>
      </c>
      <c r="F1525" s="29"/>
      <c r="G1525" s="32">
        <v>45661</v>
      </c>
      <c r="H1525" s="29"/>
      <c r="I1525" s="5" t="s">
        <v>15</v>
      </c>
      <c r="J1525" s="5" t="s">
        <v>30</v>
      </c>
      <c r="K1525" s="5"/>
      <c r="L1525" t="s">
        <v>42</v>
      </c>
    </row>
    <row r="1526" spans="1:12" ht="18.75" customHeight="1" x14ac:dyDescent="0.3">
      <c r="A1526" s="30">
        <v>1544</v>
      </c>
      <c r="B1526" s="29"/>
      <c r="C1526" s="5" t="s">
        <v>40</v>
      </c>
      <c r="D1526" s="7">
        <v>400</v>
      </c>
      <c r="E1526" s="31">
        <v>141719</v>
      </c>
      <c r="F1526" s="29"/>
      <c r="G1526" s="32">
        <v>45661</v>
      </c>
      <c r="H1526" s="29"/>
      <c r="I1526" s="5" t="s">
        <v>15</v>
      </c>
      <c r="J1526" s="5" t="s">
        <v>30</v>
      </c>
      <c r="K1526" s="5"/>
      <c r="L1526" t="s">
        <v>44</v>
      </c>
    </row>
    <row r="1527" spans="1:12" ht="18.75" customHeight="1" x14ac:dyDescent="0.3">
      <c r="A1527" s="30">
        <v>1545</v>
      </c>
      <c r="B1527" s="29"/>
      <c r="C1527" s="5" t="s">
        <v>40</v>
      </c>
      <c r="D1527" s="7">
        <v>437</v>
      </c>
      <c r="E1527" s="31">
        <v>142431</v>
      </c>
      <c r="F1527" s="29"/>
      <c r="G1527" s="32">
        <v>45662</v>
      </c>
      <c r="H1527" s="29"/>
      <c r="I1527" s="5" t="s">
        <v>15</v>
      </c>
      <c r="J1527" s="5" t="s">
        <v>30</v>
      </c>
      <c r="K1527" s="5"/>
      <c r="L1527" t="s">
        <v>41</v>
      </c>
    </row>
    <row r="1528" spans="1:12" ht="18.75" customHeight="1" x14ac:dyDescent="0.3">
      <c r="A1528" s="30">
        <v>1546</v>
      </c>
      <c r="B1528" s="29"/>
      <c r="C1528" s="5" t="s">
        <v>40</v>
      </c>
      <c r="D1528" s="7">
        <v>500</v>
      </c>
      <c r="E1528" s="31">
        <v>141711</v>
      </c>
      <c r="F1528" s="29"/>
      <c r="G1528" s="32">
        <v>45660</v>
      </c>
      <c r="H1528" s="29"/>
      <c r="I1528" s="5" t="s">
        <v>28</v>
      </c>
      <c r="J1528" s="5" t="s">
        <v>66</v>
      </c>
      <c r="K1528" s="5"/>
      <c r="L1528" t="s">
        <v>90</v>
      </c>
    </row>
    <row r="1529" spans="1:12" ht="18.75" customHeight="1" x14ac:dyDescent="0.3">
      <c r="A1529" s="30">
        <v>1547</v>
      </c>
      <c r="B1529" s="29"/>
      <c r="C1529" s="5" t="s">
        <v>40</v>
      </c>
      <c r="D1529" s="7">
        <v>500</v>
      </c>
      <c r="E1529" s="31">
        <v>141720</v>
      </c>
      <c r="F1529" s="29"/>
      <c r="G1529" s="32">
        <v>45661</v>
      </c>
      <c r="H1529" s="29"/>
      <c r="I1529" s="5" t="s">
        <v>28</v>
      </c>
      <c r="J1529" s="5" t="s">
        <v>66</v>
      </c>
      <c r="K1529" s="5"/>
      <c r="L1529" t="s">
        <v>44</v>
      </c>
    </row>
    <row r="1530" spans="1:12" ht="18.75" customHeight="1" x14ac:dyDescent="0.3">
      <c r="A1530" s="30">
        <v>1548</v>
      </c>
      <c r="B1530" s="29"/>
      <c r="C1530" s="5" t="s">
        <v>40</v>
      </c>
      <c r="D1530" s="7">
        <v>405</v>
      </c>
      <c r="E1530" s="31">
        <v>136558</v>
      </c>
      <c r="F1530" s="29"/>
      <c r="G1530" s="32">
        <v>45667</v>
      </c>
      <c r="H1530" s="29"/>
      <c r="I1530" s="5" t="s">
        <v>28</v>
      </c>
      <c r="J1530" s="5" t="s">
        <v>66</v>
      </c>
      <c r="K1530" s="5"/>
      <c r="L1530" t="s">
        <v>43</v>
      </c>
    </row>
    <row r="1531" spans="1:12" ht="18.75" customHeight="1" x14ac:dyDescent="0.3">
      <c r="A1531" s="30">
        <v>1549</v>
      </c>
      <c r="B1531" s="29"/>
      <c r="C1531" s="5" t="s">
        <v>40</v>
      </c>
      <c r="D1531" s="7">
        <v>500</v>
      </c>
      <c r="E1531" s="31">
        <v>142432</v>
      </c>
      <c r="F1531" s="29"/>
      <c r="G1531" s="32">
        <v>45662</v>
      </c>
      <c r="H1531" s="29"/>
      <c r="I1531" s="5" t="s">
        <v>28</v>
      </c>
      <c r="J1531" s="5" t="s">
        <v>66</v>
      </c>
      <c r="K1531" s="5"/>
      <c r="L1531" t="s">
        <v>41</v>
      </c>
    </row>
    <row r="1532" spans="1:12" ht="18.75" customHeight="1" x14ac:dyDescent="0.3">
      <c r="A1532" s="30">
        <v>1550</v>
      </c>
      <c r="B1532" s="29"/>
      <c r="C1532" s="5" t="s">
        <v>40</v>
      </c>
      <c r="D1532" s="7">
        <v>500</v>
      </c>
      <c r="E1532" s="31">
        <v>142432</v>
      </c>
      <c r="F1532" s="29"/>
      <c r="G1532" s="32">
        <v>45662</v>
      </c>
      <c r="H1532" s="29"/>
      <c r="I1532" s="5" t="s">
        <v>28</v>
      </c>
      <c r="J1532" s="5" t="s">
        <v>66</v>
      </c>
      <c r="K1532" s="5"/>
      <c r="L1532" t="s">
        <v>41</v>
      </c>
    </row>
    <row r="1533" spans="1:12" ht="18.75" customHeight="1" x14ac:dyDescent="0.3">
      <c r="A1533" s="30">
        <v>1551</v>
      </c>
      <c r="B1533" s="29"/>
      <c r="C1533" s="5" t="s">
        <v>40</v>
      </c>
      <c r="D1533" s="7">
        <v>400</v>
      </c>
      <c r="E1533" s="31">
        <v>141730</v>
      </c>
      <c r="F1533" s="29"/>
      <c r="G1533" s="32">
        <v>45664</v>
      </c>
      <c r="H1533" s="29"/>
      <c r="I1533" s="5" t="s">
        <v>28</v>
      </c>
      <c r="J1533" s="5" t="s">
        <v>66</v>
      </c>
      <c r="K1533" s="5"/>
      <c r="L1533" t="s">
        <v>44</v>
      </c>
    </row>
    <row r="1534" spans="1:12" ht="18.75" customHeight="1" x14ac:dyDescent="0.3">
      <c r="A1534" s="30">
        <v>1552</v>
      </c>
      <c r="B1534" s="29"/>
      <c r="C1534" s="5" t="s">
        <v>40</v>
      </c>
      <c r="D1534" s="7">
        <v>470</v>
      </c>
      <c r="E1534" s="31">
        <v>136553</v>
      </c>
      <c r="F1534" s="29"/>
      <c r="G1534" s="32">
        <v>45665</v>
      </c>
      <c r="H1534" s="29"/>
      <c r="I1534" s="5" t="s">
        <v>28</v>
      </c>
      <c r="J1534" s="5" t="s">
        <v>66</v>
      </c>
      <c r="K1534" s="5"/>
      <c r="L1534" t="s">
        <v>87</v>
      </c>
    </row>
    <row r="1535" spans="1:12" ht="18.75" customHeight="1" x14ac:dyDescent="0.3">
      <c r="A1535" s="30">
        <v>1553</v>
      </c>
      <c r="B1535" s="29"/>
      <c r="C1535" s="5" t="s">
        <v>40</v>
      </c>
      <c r="D1535" s="7">
        <v>250</v>
      </c>
      <c r="E1535" s="31">
        <v>138871</v>
      </c>
      <c r="F1535" s="29"/>
      <c r="G1535" s="32">
        <v>45666</v>
      </c>
      <c r="H1535" s="29"/>
      <c r="I1535" s="5" t="s">
        <v>28</v>
      </c>
      <c r="J1535" s="5" t="s">
        <v>66</v>
      </c>
      <c r="K1535" s="5"/>
      <c r="L1535" t="s">
        <v>42</v>
      </c>
    </row>
    <row r="1536" spans="1:12" ht="18.75" customHeight="1" x14ac:dyDescent="0.3">
      <c r="A1536" s="30">
        <v>1554</v>
      </c>
      <c r="B1536" s="29"/>
      <c r="C1536" s="5" t="s">
        <v>40</v>
      </c>
      <c r="D1536" s="7">
        <v>490</v>
      </c>
      <c r="E1536" s="31">
        <v>141721</v>
      </c>
      <c r="F1536" s="29"/>
      <c r="G1536" s="32">
        <v>45663</v>
      </c>
      <c r="H1536" s="29"/>
      <c r="I1536" s="5" t="s">
        <v>15</v>
      </c>
      <c r="J1536" s="5" t="s">
        <v>30</v>
      </c>
      <c r="K1536" s="5"/>
      <c r="L1536" t="s">
        <v>44</v>
      </c>
    </row>
    <row r="1537" spans="1:12" ht="18.75" customHeight="1" x14ac:dyDescent="0.3">
      <c r="A1537" s="30">
        <v>1555</v>
      </c>
      <c r="B1537" s="29"/>
      <c r="C1537" s="5" t="s">
        <v>40</v>
      </c>
      <c r="D1537" s="7">
        <v>630</v>
      </c>
      <c r="E1537" s="31">
        <v>141723</v>
      </c>
      <c r="F1537" s="29"/>
      <c r="G1537" s="32">
        <v>45663</v>
      </c>
      <c r="H1537" s="29"/>
      <c r="I1537" s="5" t="s">
        <v>15</v>
      </c>
      <c r="J1537" s="5" t="s">
        <v>30</v>
      </c>
      <c r="K1537" s="5"/>
      <c r="L1537" t="s">
        <v>44</v>
      </c>
    </row>
    <row r="1538" spans="1:12" ht="18.75" customHeight="1" x14ac:dyDescent="0.3">
      <c r="A1538" s="30">
        <v>1556</v>
      </c>
      <c r="B1538" s="29"/>
      <c r="C1538" s="5" t="s">
        <v>40</v>
      </c>
      <c r="D1538" s="7">
        <v>630</v>
      </c>
      <c r="E1538" s="31">
        <v>141728</v>
      </c>
      <c r="F1538" s="29"/>
      <c r="G1538" s="32">
        <v>45664</v>
      </c>
      <c r="H1538" s="29"/>
      <c r="I1538" s="5" t="s">
        <v>15</v>
      </c>
      <c r="J1538" s="5" t="s">
        <v>30</v>
      </c>
      <c r="K1538" s="5"/>
      <c r="L1538" t="s">
        <v>44</v>
      </c>
    </row>
    <row r="1539" spans="1:12" ht="18.75" customHeight="1" x14ac:dyDescent="0.3">
      <c r="A1539" s="30">
        <v>1557</v>
      </c>
      <c r="B1539" s="29"/>
      <c r="C1539" s="5" t="s">
        <v>40</v>
      </c>
      <c r="D1539" s="7">
        <v>700</v>
      </c>
      <c r="E1539" s="31">
        <v>138865</v>
      </c>
      <c r="F1539" s="29"/>
      <c r="G1539" s="32">
        <v>45664</v>
      </c>
      <c r="H1539" s="29"/>
      <c r="I1539" s="5" t="s">
        <v>15</v>
      </c>
      <c r="J1539" s="5" t="s">
        <v>30</v>
      </c>
      <c r="K1539" s="5"/>
      <c r="L1539" t="s">
        <v>42</v>
      </c>
    </row>
    <row r="1540" spans="1:12" ht="18.75" customHeight="1" x14ac:dyDescent="0.3">
      <c r="A1540" s="30">
        <v>1558</v>
      </c>
      <c r="B1540" s="29"/>
      <c r="C1540" s="5" t="s">
        <v>40</v>
      </c>
      <c r="D1540" s="7">
        <v>456</v>
      </c>
      <c r="E1540" s="31">
        <v>136555</v>
      </c>
      <c r="F1540" s="29"/>
      <c r="G1540" s="32">
        <v>45666</v>
      </c>
      <c r="H1540" s="29"/>
      <c r="I1540" s="5" t="s">
        <v>15</v>
      </c>
      <c r="J1540" s="5" t="s">
        <v>30</v>
      </c>
      <c r="K1540" s="5"/>
      <c r="L1540" t="s">
        <v>87</v>
      </c>
    </row>
    <row r="1541" spans="1:12" ht="18.75" customHeight="1" x14ac:dyDescent="0.3">
      <c r="A1541" s="30">
        <v>1559</v>
      </c>
      <c r="B1541" s="29"/>
      <c r="C1541" s="5" t="s">
        <v>40</v>
      </c>
      <c r="D1541" s="7">
        <v>388</v>
      </c>
      <c r="E1541" s="31">
        <v>136556</v>
      </c>
      <c r="F1541" s="29"/>
      <c r="G1541" s="32">
        <v>45667</v>
      </c>
      <c r="H1541" s="29"/>
      <c r="I1541" s="5" t="s">
        <v>15</v>
      </c>
      <c r="J1541" s="5" t="s">
        <v>30</v>
      </c>
      <c r="K1541" s="5"/>
      <c r="L1541" t="s">
        <v>43</v>
      </c>
    </row>
    <row r="1542" spans="1:12" ht="18.75" customHeight="1" x14ac:dyDescent="0.3">
      <c r="A1542" s="30">
        <v>1560</v>
      </c>
      <c r="B1542" s="29"/>
      <c r="C1542" s="5" t="s">
        <v>40</v>
      </c>
      <c r="D1542" s="7">
        <v>487</v>
      </c>
      <c r="E1542" s="31">
        <v>141739</v>
      </c>
      <c r="F1542" s="29"/>
      <c r="G1542" s="32">
        <v>45668</v>
      </c>
      <c r="H1542" s="29"/>
      <c r="I1542" s="5" t="s">
        <v>15</v>
      </c>
      <c r="J1542" s="5" t="s">
        <v>30</v>
      </c>
      <c r="K1542" s="5"/>
      <c r="L1542" t="s">
        <v>44</v>
      </c>
    </row>
    <row r="1543" spans="1:12" ht="18.75" customHeight="1" x14ac:dyDescent="0.3">
      <c r="A1543" s="30">
        <v>1561</v>
      </c>
      <c r="B1543" s="29"/>
      <c r="C1543" s="5" t="s">
        <v>40</v>
      </c>
      <c r="D1543" s="7">
        <v>576</v>
      </c>
      <c r="E1543" s="31">
        <v>58291</v>
      </c>
      <c r="F1543" s="29"/>
      <c r="G1543" s="32">
        <v>45666</v>
      </c>
      <c r="H1543" s="29"/>
      <c r="I1543" s="5" t="s">
        <v>15</v>
      </c>
      <c r="J1543" s="5" t="s">
        <v>30</v>
      </c>
      <c r="K1543" s="5"/>
      <c r="L1543" t="s">
        <v>92</v>
      </c>
    </row>
    <row r="1544" spans="1:12" ht="18.75" customHeight="1" x14ac:dyDescent="0.3">
      <c r="A1544" s="30">
        <v>1562</v>
      </c>
      <c r="B1544" s="29"/>
      <c r="C1544" s="5" t="s">
        <v>14</v>
      </c>
      <c r="D1544" s="7">
        <v>282</v>
      </c>
      <c r="E1544" s="31">
        <v>25492</v>
      </c>
      <c r="F1544" s="29"/>
      <c r="G1544" s="32">
        <v>45663</v>
      </c>
      <c r="H1544" s="29"/>
      <c r="I1544" s="5" t="s">
        <v>54</v>
      </c>
      <c r="J1544" s="5" t="s">
        <v>16</v>
      </c>
      <c r="K1544" s="5"/>
    </row>
    <row r="1545" spans="1:12" ht="18.75" customHeight="1" x14ac:dyDescent="0.3">
      <c r="A1545" s="30">
        <v>1563</v>
      </c>
      <c r="B1545" s="29"/>
      <c r="C1545" s="5" t="s">
        <v>14</v>
      </c>
      <c r="D1545" s="7">
        <v>310</v>
      </c>
      <c r="E1545" s="31">
        <v>25511</v>
      </c>
      <c r="F1545" s="29"/>
      <c r="G1545" s="32">
        <v>45664</v>
      </c>
      <c r="H1545" s="29"/>
      <c r="I1545" s="5" t="s">
        <v>54</v>
      </c>
      <c r="J1545" s="5" t="s">
        <v>16</v>
      </c>
      <c r="K1545" s="5"/>
    </row>
    <row r="1546" spans="1:12" ht="18.75" customHeight="1" x14ac:dyDescent="0.3">
      <c r="A1546" s="30">
        <v>1564</v>
      </c>
      <c r="B1546" s="29"/>
      <c r="C1546" s="5" t="s">
        <v>14</v>
      </c>
      <c r="D1546" s="7">
        <v>188</v>
      </c>
      <c r="E1546" s="31">
        <v>25531</v>
      </c>
      <c r="F1546" s="29"/>
      <c r="G1546" s="32">
        <v>45666</v>
      </c>
      <c r="H1546" s="29"/>
      <c r="I1546" s="5" t="s">
        <v>54</v>
      </c>
      <c r="J1546" s="5" t="s">
        <v>16</v>
      </c>
      <c r="K1546" s="5"/>
    </row>
    <row r="1547" spans="1:12" ht="18.75" customHeight="1" x14ac:dyDescent="0.3">
      <c r="A1547" s="30">
        <v>1565</v>
      </c>
      <c r="B1547" s="29"/>
      <c r="C1547" s="5" t="s">
        <v>14</v>
      </c>
      <c r="D1547" s="7">
        <v>357</v>
      </c>
      <c r="E1547" s="31">
        <v>25516</v>
      </c>
      <c r="F1547" s="29"/>
      <c r="G1547" s="32">
        <v>45665</v>
      </c>
      <c r="H1547" s="29"/>
      <c r="I1547" s="5" t="s">
        <v>54</v>
      </c>
      <c r="J1547" s="5" t="s">
        <v>16</v>
      </c>
      <c r="K1547" s="5"/>
    </row>
    <row r="1548" spans="1:12" ht="18.75" customHeight="1" x14ac:dyDescent="0.3">
      <c r="A1548" s="30">
        <v>1566</v>
      </c>
      <c r="B1548" s="29"/>
      <c r="C1548" s="5" t="s">
        <v>14</v>
      </c>
      <c r="D1548" s="7">
        <v>250</v>
      </c>
      <c r="E1548" s="31">
        <v>25555</v>
      </c>
      <c r="F1548" s="29"/>
      <c r="G1548" s="32">
        <v>45668</v>
      </c>
      <c r="H1548" s="29"/>
      <c r="I1548" s="5" t="s">
        <v>54</v>
      </c>
      <c r="J1548" s="5" t="s">
        <v>16</v>
      </c>
      <c r="K1548" s="5"/>
    </row>
    <row r="1549" spans="1:12" ht="18.75" customHeight="1" x14ac:dyDescent="0.3">
      <c r="A1549" s="30">
        <v>1567</v>
      </c>
      <c r="B1549" s="29"/>
      <c r="C1549" s="5" t="s">
        <v>14</v>
      </c>
      <c r="D1549" s="7">
        <v>189</v>
      </c>
      <c r="E1549" s="31">
        <v>120493</v>
      </c>
      <c r="F1549" s="29"/>
      <c r="G1549" s="32">
        <v>45666</v>
      </c>
      <c r="H1549" s="29"/>
      <c r="I1549" s="5" t="s">
        <v>54</v>
      </c>
      <c r="J1549" s="5" t="s">
        <v>16</v>
      </c>
      <c r="K1549" s="5"/>
    </row>
    <row r="1550" spans="1:12" ht="18.75" customHeight="1" x14ac:dyDescent="0.3">
      <c r="A1550" s="30">
        <v>1568</v>
      </c>
      <c r="B1550" s="29"/>
      <c r="C1550" s="5" t="s">
        <v>14</v>
      </c>
      <c r="D1550" s="7">
        <v>271</v>
      </c>
      <c r="E1550" s="31">
        <v>25571</v>
      </c>
      <c r="F1550" s="29"/>
      <c r="G1550" s="32">
        <v>45669</v>
      </c>
      <c r="H1550" s="29"/>
      <c r="I1550" s="5" t="s">
        <v>54</v>
      </c>
      <c r="J1550" s="5" t="s">
        <v>16</v>
      </c>
      <c r="K1550" s="5"/>
    </row>
    <row r="1551" spans="1:12" ht="18.75" customHeight="1" x14ac:dyDescent="0.3">
      <c r="A1551" s="30">
        <v>1569</v>
      </c>
      <c r="B1551" s="29"/>
      <c r="C1551" s="5" t="s">
        <v>14</v>
      </c>
      <c r="D1551" s="7">
        <v>275</v>
      </c>
      <c r="E1551" s="31">
        <v>25460</v>
      </c>
      <c r="F1551" s="29"/>
      <c r="G1551" s="32">
        <v>45659</v>
      </c>
      <c r="H1551" s="29"/>
      <c r="I1551" s="5" t="s">
        <v>28</v>
      </c>
      <c r="J1551" s="5" t="s">
        <v>66</v>
      </c>
      <c r="K1551" s="5" t="s">
        <v>30</v>
      </c>
    </row>
    <row r="1552" spans="1:12" ht="18.75" customHeight="1" x14ac:dyDescent="0.3">
      <c r="A1552" s="30">
        <v>1570</v>
      </c>
      <c r="B1552" s="29"/>
      <c r="C1552" s="5" t="s">
        <v>14</v>
      </c>
      <c r="D1552" s="7">
        <v>342</v>
      </c>
      <c r="E1552" s="31">
        <v>25493</v>
      </c>
      <c r="F1552" s="29"/>
      <c r="G1552" s="32">
        <v>45663</v>
      </c>
      <c r="H1552" s="29"/>
      <c r="I1552" s="5" t="s">
        <v>28</v>
      </c>
      <c r="J1552" s="5" t="s">
        <v>66</v>
      </c>
      <c r="K1552" s="5" t="s">
        <v>30</v>
      </c>
    </row>
    <row r="1553" spans="1:12" ht="18.75" customHeight="1" x14ac:dyDescent="0.3">
      <c r="A1553" s="30">
        <v>1571</v>
      </c>
      <c r="B1553" s="29"/>
      <c r="C1553" s="5" t="s">
        <v>14</v>
      </c>
      <c r="D1553" s="7">
        <v>309</v>
      </c>
      <c r="E1553" s="31">
        <v>25512</v>
      </c>
      <c r="F1553" s="29"/>
      <c r="G1553" s="32">
        <v>45664</v>
      </c>
      <c r="H1553" s="29"/>
      <c r="I1553" s="5" t="s">
        <v>28</v>
      </c>
      <c r="J1553" s="5" t="s">
        <v>66</v>
      </c>
      <c r="K1553" s="5" t="s">
        <v>30</v>
      </c>
    </row>
    <row r="1554" spans="1:12" ht="18.75" customHeight="1" x14ac:dyDescent="0.3">
      <c r="A1554" s="30">
        <v>1572</v>
      </c>
      <c r="B1554" s="29"/>
      <c r="C1554" s="5" t="s">
        <v>14</v>
      </c>
      <c r="D1554" s="7">
        <v>399</v>
      </c>
      <c r="E1554" s="31">
        <v>25530</v>
      </c>
      <c r="F1554" s="29"/>
      <c r="G1554" s="32">
        <v>45666</v>
      </c>
      <c r="H1554" s="29"/>
      <c r="I1554" s="5" t="s">
        <v>28</v>
      </c>
      <c r="J1554" s="5" t="s">
        <v>66</v>
      </c>
      <c r="K1554" s="5" t="s">
        <v>30</v>
      </c>
    </row>
    <row r="1555" spans="1:12" ht="18.75" customHeight="1" x14ac:dyDescent="0.3">
      <c r="A1555" s="30">
        <v>1573</v>
      </c>
      <c r="B1555" s="29"/>
      <c r="C1555" s="5" t="s">
        <v>14</v>
      </c>
      <c r="D1555" s="7">
        <v>450</v>
      </c>
      <c r="E1555" s="31">
        <v>25540</v>
      </c>
      <c r="F1555" s="29"/>
      <c r="G1555" s="32">
        <v>45667</v>
      </c>
      <c r="H1555" s="29"/>
      <c r="I1555" s="5" t="s">
        <v>28</v>
      </c>
      <c r="J1555" s="5" t="s">
        <v>66</v>
      </c>
      <c r="K1555" s="5" t="s">
        <v>30</v>
      </c>
    </row>
    <row r="1556" spans="1:12" ht="18.75" customHeight="1" x14ac:dyDescent="0.3">
      <c r="A1556" s="30">
        <v>1574</v>
      </c>
      <c r="B1556" s="29"/>
      <c r="C1556" s="5" t="s">
        <v>14</v>
      </c>
      <c r="D1556" s="7">
        <v>352</v>
      </c>
      <c r="E1556" s="31">
        <v>25551</v>
      </c>
      <c r="F1556" s="29"/>
      <c r="G1556" s="32">
        <v>45668</v>
      </c>
      <c r="H1556" s="29"/>
      <c r="I1556" s="5" t="s">
        <v>28</v>
      </c>
      <c r="J1556" s="5" t="s">
        <v>66</v>
      </c>
      <c r="K1556" s="5" t="s">
        <v>30</v>
      </c>
    </row>
    <row r="1557" spans="1:12" ht="18.75" customHeight="1" x14ac:dyDescent="0.3">
      <c r="A1557" s="30">
        <v>1575</v>
      </c>
      <c r="B1557" s="29"/>
      <c r="C1557" s="5" t="s">
        <v>40</v>
      </c>
      <c r="D1557" s="7">
        <v>700</v>
      </c>
      <c r="E1557" s="31">
        <v>136559</v>
      </c>
      <c r="F1557" s="29"/>
      <c r="G1557" s="32">
        <v>45670</v>
      </c>
      <c r="H1557" s="29"/>
      <c r="I1557" s="5" t="s">
        <v>15</v>
      </c>
      <c r="J1557" s="5" t="s">
        <v>30</v>
      </c>
      <c r="K1557" s="5"/>
      <c r="L1557" t="s">
        <v>43</v>
      </c>
    </row>
    <row r="1558" spans="1:12" ht="18.75" customHeight="1" x14ac:dyDescent="0.3">
      <c r="A1558" s="30">
        <v>1576</v>
      </c>
      <c r="B1558" s="29"/>
      <c r="C1558" s="5" t="s">
        <v>40</v>
      </c>
      <c r="D1558" s="7">
        <v>400</v>
      </c>
      <c r="E1558" s="31">
        <v>136562</v>
      </c>
      <c r="F1558" s="29"/>
      <c r="G1558" s="32">
        <v>45671</v>
      </c>
      <c r="H1558" s="29"/>
      <c r="I1558" s="5" t="s">
        <v>15</v>
      </c>
      <c r="J1558" s="5" t="s">
        <v>30</v>
      </c>
      <c r="K1558" s="5"/>
      <c r="L1558" t="s">
        <v>43</v>
      </c>
    </row>
    <row r="1559" spans="1:12" ht="18.75" customHeight="1" x14ac:dyDescent="0.3">
      <c r="A1559" s="30">
        <v>1577</v>
      </c>
      <c r="B1559" s="29"/>
      <c r="C1559" s="5" t="s">
        <v>40</v>
      </c>
      <c r="D1559" s="7">
        <v>490</v>
      </c>
      <c r="E1559" s="31">
        <v>138878</v>
      </c>
      <c r="F1559" s="29"/>
      <c r="G1559" s="32">
        <v>45672</v>
      </c>
      <c r="H1559" s="29"/>
      <c r="I1559" s="5" t="s">
        <v>15</v>
      </c>
      <c r="J1559" s="5" t="s">
        <v>30</v>
      </c>
      <c r="K1559" s="5"/>
      <c r="L1559" t="s">
        <v>42</v>
      </c>
    </row>
    <row r="1560" spans="1:12" ht="18.75" customHeight="1" x14ac:dyDescent="0.3">
      <c r="A1560" s="30">
        <v>1578</v>
      </c>
      <c r="B1560" s="29"/>
      <c r="C1560" s="5" t="s">
        <v>40</v>
      </c>
      <c r="D1560" s="7">
        <v>360</v>
      </c>
      <c r="E1560" s="31">
        <v>136081</v>
      </c>
      <c r="F1560" s="29"/>
      <c r="G1560" s="32">
        <v>45672</v>
      </c>
      <c r="H1560" s="29"/>
      <c r="I1560" s="5" t="s">
        <v>15</v>
      </c>
      <c r="J1560" s="5" t="s">
        <v>30</v>
      </c>
      <c r="K1560" s="5"/>
      <c r="L1560" t="s">
        <v>41</v>
      </c>
    </row>
    <row r="1561" spans="1:12" ht="18.75" customHeight="1" x14ac:dyDescent="0.3">
      <c r="A1561" s="30">
        <v>1579</v>
      </c>
      <c r="B1561" s="29"/>
      <c r="C1561" s="5" t="s">
        <v>40</v>
      </c>
      <c r="D1561" s="7">
        <v>650</v>
      </c>
      <c r="E1561" s="31">
        <v>138879</v>
      </c>
      <c r="F1561" s="29"/>
      <c r="G1561" s="32">
        <v>45673</v>
      </c>
      <c r="H1561" s="29"/>
      <c r="I1561" s="5" t="s">
        <v>15</v>
      </c>
      <c r="J1561" s="5" t="s">
        <v>30</v>
      </c>
      <c r="K1561" s="5"/>
      <c r="L1561" t="s">
        <v>42</v>
      </c>
    </row>
    <row r="1562" spans="1:12" ht="18.75" customHeight="1" x14ac:dyDescent="0.3">
      <c r="A1562" s="30">
        <v>1580</v>
      </c>
      <c r="B1562" s="29"/>
      <c r="C1562" s="5" t="s">
        <v>40</v>
      </c>
      <c r="D1562" s="7">
        <v>520</v>
      </c>
      <c r="E1562" s="31">
        <v>136575</v>
      </c>
      <c r="F1562" s="29"/>
      <c r="G1562" s="32">
        <v>45673</v>
      </c>
      <c r="H1562" s="29"/>
      <c r="I1562" s="5" t="s">
        <v>15</v>
      </c>
      <c r="J1562" s="5" t="s">
        <v>30</v>
      </c>
      <c r="K1562" s="5"/>
      <c r="L1562" t="s">
        <v>43</v>
      </c>
    </row>
    <row r="1563" spans="1:12" ht="18.75" customHeight="1" x14ac:dyDescent="0.3">
      <c r="A1563" s="30">
        <v>1581</v>
      </c>
      <c r="B1563" s="29"/>
      <c r="C1563" s="5" t="s">
        <v>40</v>
      </c>
      <c r="D1563" s="7">
        <v>430</v>
      </c>
      <c r="E1563" s="31">
        <v>136582</v>
      </c>
      <c r="F1563" s="29"/>
      <c r="G1563" s="32">
        <v>45674</v>
      </c>
      <c r="H1563" s="29"/>
      <c r="I1563" s="5" t="s">
        <v>15</v>
      </c>
      <c r="J1563" s="5" t="s">
        <v>30</v>
      </c>
      <c r="K1563" s="5"/>
      <c r="L1563" t="s">
        <v>43</v>
      </c>
    </row>
    <row r="1564" spans="1:12" ht="18.75" customHeight="1" x14ac:dyDescent="0.3">
      <c r="A1564" s="30">
        <v>1582</v>
      </c>
      <c r="B1564" s="29"/>
      <c r="C1564" s="5" t="s">
        <v>40</v>
      </c>
      <c r="D1564" s="7">
        <v>490</v>
      </c>
      <c r="E1564" s="31">
        <v>136579</v>
      </c>
      <c r="F1564" s="29"/>
      <c r="G1564" s="32">
        <v>45674</v>
      </c>
      <c r="H1564" s="29"/>
      <c r="I1564" s="5" t="s">
        <v>15</v>
      </c>
      <c r="J1564" s="5" t="s">
        <v>30</v>
      </c>
      <c r="K1564" s="5"/>
      <c r="L1564" t="s">
        <v>88</v>
      </c>
    </row>
    <row r="1565" spans="1:12" ht="18.75" customHeight="1" x14ac:dyDescent="0.3">
      <c r="A1565" s="30">
        <v>1583</v>
      </c>
      <c r="B1565" s="29"/>
      <c r="C1565" s="5" t="s">
        <v>40</v>
      </c>
      <c r="D1565" s="7">
        <v>630</v>
      </c>
      <c r="E1565" s="31">
        <v>141751</v>
      </c>
      <c r="F1565" s="29"/>
      <c r="G1565" s="32">
        <v>45675</v>
      </c>
      <c r="H1565" s="29"/>
      <c r="I1565" s="5" t="s">
        <v>15</v>
      </c>
      <c r="J1565" s="5" t="s">
        <v>30</v>
      </c>
      <c r="K1565" s="5"/>
      <c r="L1565" t="s">
        <v>44</v>
      </c>
    </row>
    <row r="1566" spans="1:12" ht="18.75" customHeight="1" x14ac:dyDescent="0.3">
      <c r="A1566" s="30">
        <v>1584</v>
      </c>
      <c r="B1566" s="29"/>
      <c r="C1566" s="5" t="s">
        <v>40</v>
      </c>
      <c r="D1566" s="7">
        <v>354</v>
      </c>
      <c r="E1566" s="31">
        <v>142453</v>
      </c>
      <c r="F1566" s="29"/>
      <c r="G1566" s="32">
        <v>45675</v>
      </c>
      <c r="H1566" s="29"/>
      <c r="I1566" s="5" t="s">
        <v>15</v>
      </c>
      <c r="J1566" s="5" t="s">
        <v>30</v>
      </c>
      <c r="K1566" s="5"/>
      <c r="L1566" t="s">
        <v>41</v>
      </c>
    </row>
    <row r="1567" spans="1:12" ht="18.75" customHeight="1" x14ac:dyDescent="0.3">
      <c r="A1567" s="30">
        <v>1585</v>
      </c>
      <c r="B1567" s="29"/>
      <c r="C1567" s="5" t="s">
        <v>40</v>
      </c>
      <c r="D1567" s="7">
        <v>400</v>
      </c>
      <c r="E1567" s="31">
        <v>136069</v>
      </c>
      <c r="F1567" s="29"/>
      <c r="G1567" s="32">
        <v>45669</v>
      </c>
      <c r="H1567" s="29"/>
      <c r="I1567" s="5" t="s">
        <v>28</v>
      </c>
      <c r="J1567" s="5" t="s">
        <v>66</v>
      </c>
      <c r="K1567" s="5"/>
      <c r="L1567" t="s">
        <v>41</v>
      </c>
    </row>
    <row r="1568" spans="1:12" ht="18.75" customHeight="1" x14ac:dyDescent="0.3">
      <c r="A1568" s="30">
        <v>1586</v>
      </c>
      <c r="B1568" s="29"/>
      <c r="C1568" s="5" t="s">
        <v>40</v>
      </c>
      <c r="D1568" s="7">
        <v>700</v>
      </c>
      <c r="E1568" s="31">
        <v>136565</v>
      </c>
      <c r="F1568" s="29"/>
      <c r="G1568" s="32">
        <v>45671</v>
      </c>
      <c r="H1568" s="29"/>
      <c r="I1568" s="5" t="s">
        <v>28</v>
      </c>
      <c r="J1568" s="5" t="s">
        <v>66</v>
      </c>
      <c r="K1568" s="5"/>
      <c r="L1568" t="s">
        <v>43</v>
      </c>
    </row>
    <row r="1569" spans="1:12" ht="18.75" customHeight="1" x14ac:dyDescent="0.3">
      <c r="A1569" s="30">
        <v>1587</v>
      </c>
      <c r="B1569" s="29"/>
      <c r="C1569" s="5" t="s">
        <v>40</v>
      </c>
      <c r="D1569" s="7">
        <v>490</v>
      </c>
      <c r="E1569" s="31">
        <v>141745</v>
      </c>
      <c r="F1569" s="29"/>
      <c r="G1569" s="32">
        <v>45672</v>
      </c>
      <c r="H1569" s="29"/>
      <c r="I1569" s="5" t="s">
        <v>28</v>
      </c>
      <c r="J1569" s="5" t="s">
        <v>66</v>
      </c>
      <c r="K1569" s="5"/>
      <c r="L1569" t="s">
        <v>44</v>
      </c>
    </row>
    <row r="1570" spans="1:12" ht="18.75" customHeight="1" x14ac:dyDescent="0.3">
      <c r="A1570" s="30">
        <v>1588</v>
      </c>
      <c r="B1570" s="29"/>
      <c r="C1570" s="5" t="s">
        <v>40</v>
      </c>
      <c r="D1570" s="7">
        <v>490</v>
      </c>
      <c r="E1570" s="31">
        <v>136576</v>
      </c>
      <c r="F1570" s="29"/>
      <c r="G1570" s="32">
        <v>45673</v>
      </c>
      <c r="H1570" s="29"/>
      <c r="I1570" s="5" t="s">
        <v>28</v>
      </c>
      <c r="J1570" s="5" t="s">
        <v>66</v>
      </c>
      <c r="K1570" s="5"/>
      <c r="L1570" t="s">
        <v>88</v>
      </c>
    </row>
    <row r="1571" spans="1:12" ht="18.75" customHeight="1" x14ac:dyDescent="0.3">
      <c r="A1571" s="30">
        <v>1589</v>
      </c>
      <c r="B1571" s="29"/>
      <c r="C1571" s="5" t="s">
        <v>40</v>
      </c>
      <c r="D1571" s="7">
        <v>490</v>
      </c>
      <c r="E1571" s="31">
        <v>136580</v>
      </c>
      <c r="F1571" s="29"/>
      <c r="G1571" s="32">
        <v>45674</v>
      </c>
      <c r="H1571" s="29"/>
      <c r="I1571" s="5" t="s">
        <v>28</v>
      </c>
      <c r="J1571" s="5" t="s">
        <v>66</v>
      </c>
      <c r="K1571" s="5"/>
      <c r="L1571" t="s">
        <v>88</v>
      </c>
    </row>
    <row r="1572" spans="1:12" ht="18.75" customHeight="1" x14ac:dyDescent="0.3">
      <c r="A1572" s="30">
        <v>1590</v>
      </c>
      <c r="B1572" s="29"/>
      <c r="C1572" s="5" t="s">
        <v>40</v>
      </c>
      <c r="D1572" s="7">
        <v>280</v>
      </c>
      <c r="E1572" s="31">
        <v>142452</v>
      </c>
      <c r="F1572" s="29"/>
      <c r="G1572" s="32">
        <v>45675</v>
      </c>
      <c r="H1572" s="29"/>
      <c r="I1572" s="5" t="s">
        <v>28</v>
      </c>
      <c r="J1572" s="5" t="s">
        <v>66</v>
      </c>
      <c r="K1572" s="5"/>
      <c r="L1572" t="s">
        <v>41</v>
      </c>
    </row>
    <row r="1573" spans="1:12" ht="18.75" customHeight="1" x14ac:dyDescent="0.3">
      <c r="A1573" s="30">
        <v>1591</v>
      </c>
      <c r="B1573" s="29"/>
      <c r="C1573" s="5" t="s">
        <v>14</v>
      </c>
      <c r="D1573" s="7">
        <v>300</v>
      </c>
      <c r="E1573" s="31">
        <v>25560</v>
      </c>
      <c r="F1573" s="29"/>
      <c r="G1573" s="32">
        <v>45670</v>
      </c>
      <c r="H1573" s="29"/>
      <c r="I1573" s="5" t="s">
        <v>54</v>
      </c>
      <c r="J1573" s="5" t="s">
        <v>74</v>
      </c>
      <c r="K1573" s="5" t="s">
        <v>16</v>
      </c>
    </row>
    <row r="1574" spans="1:12" ht="18.75" customHeight="1" x14ac:dyDescent="0.3">
      <c r="A1574" s="30">
        <v>1592</v>
      </c>
      <c r="B1574" s="29"/>
      <c r="C1574" s="5" t="s">
        <v>14</v>
      </c>
      <c r="D1574" s="7">
        <v>330</v>
      </c>
      <c r="E1574" s="31">
        <v>25594</v>
      </c>
      <c r="F1574" s="29"/>
      <c r="G1574" s="32">
        <v>45671</v>
      </c>
      <c r="H1574" s="29"/>
      <c r="I1574" s="5" t="s">
        <v>54</v>
      </c>
      <c r="J1574" s="5" t="s">
        <v>74</v>
      </c>
      <c r="K1574" s="5" t="s">
        <v>16</v>
      </c>
    </row>
    <row r="1575" spans="1:12" ht="18.75" customHeight="1" x14ac:dyDescent="0.3">
      <c r="A1575" s="30">
        <v>1593</v>
      </c>
      <c r="B1575" s="29"/>
      <c r="C1575" s="5" t="s">
        <v>14</v>
      </c>
      <c r="D1575" s="7">
        <v>254</v>
      </c>
      <c r="E1575" s="31">
        <v>25597</v>
      </c>
      <c r="F1575" s="29"/>
      <c r="G1575" s="32">
        <v>45672</v>
      </c>
      <c r="H1575" s="29"/>
      <c r="I1575" s="5" t="s">
        <v>54</v>
      </c>
      <c r="J1575" s="5" t="s">
        <v>93</v>
      </c>
      <c r="K1575" s="5" t="s">
        <v>16</v>
      </c>
    </row>
    <row r="1576" spans="1:12" ht="18.75" customHeight="1" x14ac:dyDescent="0.3">
      <c r="A1576" s="30">
        <v>1594</v>
      </c>
      <c r="B1576" s="29"/>
      <c r="C1576" s="5" t="s">
        <v>14</v>
      </c>
      <c r="D1576" s="7">
        <v>260</v>
      </c>
      <c r="E1576" s="31">
        <v>25605</v>
      </c>
      <c r="F1576" s="29"/>
      <c r="G1576" s="32">
        <v>45673</v>
      </c>
      <c r="H1576" s="29"/>
      <c r="I1576" s="5" t="s">
        <v>54</v>
      </c>
      <c r="J1576" s="5" t="s">
        <v>93</v>
      </c>
      <c r="K1576" s="5" t="s">
        <v>16</v>
      </c>
    </row>
    <row r="1577" spans="1:12" ht="18.75" customHeight="1" x14ac:dyDescent="0.3">
      <c r="A1577" s="30">
        <v>1595</v>
      </c>
      <c r="B1577" s="29"/>
      <c r="C1577" s="5" t="s">
        <v>14</v>
      </c>
      <c r="D1577" s="7">
        <v>87</v>
      </c>
      <c r="E1577" s="31">
        <v>25621</v>
      </c>
      <c r="F1577" s="29"/>
      <c r="G1577" s="32">
        <v>45674</v>
      </c>
      <c r="H1577" s="29"/>
      <c r="I1577" s="5" t="s">
        <v>54</v>
      </c>
      <c r="J1577" s="5" t="s">
        <v>93</v>
      </c>
      <c r="K1577" s="5" t="s">
        <v>16</v>
      </c>
    </row>
    <row r="1578" spans="1:12" ht="18.75" customHeight="1" x14ac:dyDescent="0.3">
      <c r="A1578" s="30">
        <v>1596</v>
      </c>
      <c r="B1578" s="29"/>
      <c r="C1578" s="5" t="s">
        <v>14</v>
      </c>
      <c r="D1578" s="7">
        <f>146+35</f>
        <v>181</v>
      </c>
      <c r="E1578" s="31">
        <v>117059</v>
      </c>
      <c r="F1578" s="29"/>
      <c r="G1578" s="32">
        <v>45674</v>
      </c>
      <c r="H1578" s="29"/>
      <c r="I1578" s="5" t="s">
        <v>54</v>
      </c>
      <c r="J1578" s="5" t="s">
        <v>93</v>
      </c>
      <c r="K1578" s="5" t="s">
        <v>16</v>
      </c>
    </row>
    <row r="1579" spans="1:12" ht="18.75" customHeight="1" x14ac:dyDescent="0.3">
      <c r="A1579" s="30">
        <v>1597</v>
      </c>
      <c r="B1579" s="29"/>
      <c r="C1579" s="5" t="s">
        <v>14</v>
      </c>
      <c r="D1579" s="7">
        <v>278</v>
      </c>
      <c r="E1579" s="31">
        <v>25633</v>
      </c>
      <c r="F1579" s="29"/>
      <c r="G1579" s="32">
        <v>45675</v>
      </c>
      <c r="H1579" s="29"/>
      <c r="I1579" s="5" t="s">
        <v>54</v>
      </c>
      <c r="J1579" s="5" t="s">
        <v>93</v>
      </c>
      <c r="K1579" s="5" t="s">
        <v>16</v>
      </c>
    </row>
    <row r="1580" spans="1:12" ht="18.75" customHeight="1" x14ac:dyDescent="0.3">
      <c r="A1580" s="30">
        <v>1598</v>
      </c>
      <c r="B1580" s="29"/>
      <c r="C1580" s="5" t="s">
        <v>14</v>
      </c>
      <c r="D1580" s="7">
        <v>279</v>
      </c>
      <c r="E1580" s="31">
        <v>25561</v>
      </c>
      <c r="F1580" s="29"/>
      <c r="G1580" s="32">
        <v>45670</v>
      </c>
      <c r="H1580" s="29"/>
      <c r="I1580" s="5" t="s">
        <v>28</v>
      </c>
      <c r="J1580" s="5" t="s">
        <v>66</v>
      </c>
      <c r="K1580" s="5" t="s">
        <v>30</v>
      </c>
    </row>
    <row r="1581" spans="1:12" ht="18.75" customHeight="1" x14ac:dyDescent="0.3">
      <c r="A1581" s="30">
        <v>1599</v>
      </c>
      <c r="B1581" s="29"/>
      <c r="C1581" s="5" t="s">
        <v>14</v>
      </c>
      <c r="D1581" s="7">
        <v>373</v>
      </c>
      <c r="E1581" s="31">
        <v>25587</v>
      </c>
      <c r="F1581" s="29"/>
      <c r="G1581" s="32">
        <v>45671</v>
      </c>
      <c r="H1581" s="29"/>
      <c r="I1581" s="5" t="s">
        <v>28</v>
      </c>
      <c r="J1581" s="5" t="s">
        <v>66</v>
      </c>
      <c r="K1581" s="5" t="s">
        <v>30</v>
      </c>
    </row>
    <row r="1582" spans="1:12" ht="18.75" customHeight="1" x14ac:dyDescent="0.3">
      <c r="A1582" s="30">
        <v>1600</v>
      </c>
      <c r="B1582" s="29"/>
      <c r="C1582" s="5" t="s">
        <v>14</v>
      </c>
      <c r="D1582" s="7">
        <v>434</v>
      </c>
      <c r="E1582" s="31">
        <v>25581</v>
      </c>
      <c r="F1582" s="29"/>
      <c r="G1582" s="32">
        <v>45672</v>
      </c>
      <c r="H1582" s="29"/>
      <c r="I1582" s="5" t="s">
        <v>28</v>
      </c>
      <c r="J1582" s="5" t="s">
        <v>66</v>
      </c>
      <c r="K1582" s="5" t="s">
        <v>30</v>
      </c>
    </row>
    <row r="1583" spans="1:12" ht="18.75" customHeight="1" x14ac:dyDescent="0.3">
      <c r="A1583" s="30">
        <v>1601</v>
      </c>
      <c r="B1583" s="29"/>
      <c r="C1583" s="5" t="s">
        <v>14</v>
      </c>
      <c r="D1583" s="7">
        <v>414</v>
      </c>
      <c r="E1583" s="31">
        <v>25611</v>
      </c>
      <c r="F1583" s="29"/>
      <c r="G1583" s="32">
        <v>45673</v>
      </c>
      <c r="H1583" s="29"/>
      <c r="I1583" s="5" t="s">
        <v>28</v>
      </c>
      <c r="J1583" s="5" t="s">
        <v>66</v>
      </c>
      <c r="K1583" s="5" t="s">
        <v>30</v>
      </c>
    </row>
    <row r="1584" spans="1:12" ht="18.75" customHeight="1" x14ac:dyDescent="0.3">
      <c r="A1584" s="30">
        <v>1602</v>
      </c>
      <c r="B1584" s="29"/>
      <c r="C1584" s="5" t="s">
        <v>14</v>
      </c>
      <c r="D1584" s="7">
        <v>280</v>
      </c>
      <c r="E1584" s="31">
        <v>25619</v>
      </c>
      <c r="F1584" s="29"/>
      <c r="G1584" s="32">
        <v>45674</v>
      </c>
      <c r="H1584" s="29"/>
      <c r="I1584" s="5" t="s">
        <v>28</v>
      </c>
      <c r="J1584" s="5" t="s">
        <v>66</v>
      </c>
      <c r="K1584" s="5" t="s">
        <v>30</v>
      </c>
    </row>
    <row r="1585" spans="1:12" ht="18.75" customHeight="1" x14ac:dyDescent="0.3">
      <c r="A1585" s="30">
        <v>1603</v>
      </c>
      <c r="B1585" s="29"/>
      <c r="C1585" s="5" t="s">
        <v>14</v>
      </c>
      <c r="D1585" s="7">
        <v>506</v>
      </c>
      <c r="E1585" s="31">
        <v>25634</v>
      </c>
      <c r="F1585" s="29"/>
      <c r="G1585" s="32">
        <v>45675</v>
      </c>
      <c r="H1585" s="29"/>
      <c r="I1585" s="5" t="s">
        <v>28</v>
      </c>
      <c r="J1585" s="5" t="s">
        <v>66</v>
      </c>
      <c r="K1585" s="5" t="s">
        <v>30</v>
      </c>
    </row>
    <row r="1586" spans="1:12" ht="18.75" customHeight="1" x14ac:dyDescent="0.3">
      <c r="A1586" s="30">
        <v>1604</v>
      </c>
      <c r="B1586" s="29"/>
      <c r="C1586" s="5" t="s">
        <v>40</v>
      </c>
      <c r="D1586" s="7">
        <v>470</v>
      </c>
      <c r="E1586" s="31">
        <v>136583</v>
      </c>
      <c r="F1586" s="29"/>
      <c r="G1586" s="32">
        <v>45677</v>
      </c>
      <c r="H1586" s="29"/>
      <c r="I1586" s="5" t="s">
        <v>15</v>
      </c>
      <c r="J1586" s="5" t="s">
        <v>30</v>
      </c>
      <c r="K1586" s="5"/>
      <c r="L1586" t="s">
        <v>87</v>
      </c>
    </row>
    <row r="1587" spans="1:12" ht="18.75" customHeight="1" x14ac:dyDescent="0.3">
      <c r="A1587" s="30">
        <v>1605</v>
      </c>
      <c r="B1587" s="29"/>
      <c r="C1587" s="5" t="s">
        <v>40</v>
      </c>
      <c r="D1587" s="7">
        <v>392</v>
      </c>
      <c r="E1587" s="31">
        <v>137502</v>
      </c>
      <c r="F1587" s="29"/>
      <c r="G1587" s="32">
        <v>45678</v>
      </c>
      <c r="H1587" s="29"/>
      <c r="I1587" s="5" t="s">
        <v>15</v>
      </c>
      <c r="J1587" s="5" t="s">
        <v>30</v>
      </c>
      <c r="K1587" s="5"/>
      <c r="L1587" t="s">
        <v>43</v>
      </c>
    </row>
    <row r="1588" spans="1:12" ht="18.75" customHeight="1" x14ac:dyDescent="0.3">
      <c r="A1588" s="30">
        <v>1606</v>
      </c>
      <c r="B1588" s="29"/>
      <c r="C1588" s="5" t="s">
        <v>40</v>
      </c>
      <c r="D1588" s="7">
        <v>595</v>
      </c>
      <c r="E1588" s="31">
        <v>141760</v>
      </c>
      <c r="F1588" s="29"/>
      <c r="G1588" s="32">
        <v>45679</v>
      </c>
      <c r="H1588" s="29"/>
      <c r="I1588" s="5" t="s">
        <v>15</v>
      </c>
      <c r="J1588" s="5" t="s">
        <v>30</v>
      </c>
      <c r="K1588" s="5"/>
      <c r="L1588" t="s">
        <v>44</v>
      </c>
    </row>
    <row r="1589" spans="1:12" ht="18.75" customHeight="1" x14ac:dyDescent="0.3">
      <c r="A1589" s="30">
        <v>1607</v>
      </c>
      <c r="B1589" s="29"/>
      <c r="C1589" s="5" t="s">
        <v>40</v>
      </c>
      <c r="D1589" s="7">
        <v>560</v>
      </c>
      <c r="E1589" s="31">
        <v>141765</v>
      </c>
      <c r="F1589" s="29"/>
      <c r="G1589" s="32">
        <v>45680</v>
      </c>
      <c r="H1589" s="29"/>
      <c r="I1589" s="5" t="s">
        <v>15</v>
      </c>
      <c r="J1589" s="5" t="s">
        <v>30</v>
      </c>
      <c r="K1589" s="5"/>
      <c r="L1589" t="s">
        <v>44</v>
      </c>
    </row>
    <row r="1590" spans="1:12" ht="18.75" customHeight="1" x14ac:dyDescent="0.3">
      <c r="A1590" s="30">
        <v>1608</v>
      </c>
      <c r="B1590" s="29"/>
      <c r="C1590" s="5" t="s">
        <v>40</v>
      </c>
      <c r="D1590" s="7">
        <v>665</v>
      </c>
      <c r="E1590" s="31">
        <v>141767</v>
      </c>
      <c r="F1590" s="29"/>
      <c r="G1590" s="32">
        <v>45680</v>
      </c>
      <c r="H1590" s="29"/>
      <c r="I1590" s="5" t="s">
        <v>15</v>
      </c>
      <c r="J1590" s="5" t="s">
        <v>30</v>
      </c>
      <c r="K1590" s="5"/>
      <c r="L1590" t="s">
        <v>44</v>
      </c>
    </row>
    <row r="1591" spans="1:12" ht="18.75" customHeight="1" x14ac:dyDescent="0.3">
      <c r="A1591" s="30">
        <v>1609</v>
      </c>
      <c r="B1591" s="29"/>
      <c r="C1591" s="5" t="s">
        <v>40</v>
      </c>
      <c r="D1591" s="7">
        <v>652</v>
      </c>
      <c r="E1591" s="31">
        <v>136596</v>
      </c>
      <c r="F1591" s="29"/>
      <c r="G1591" s="32">
        <v>45681</v>
      </c>
      <c r="H1591" s="29"/>
      <c r="I1591" s="5" t="s">
        <v>15</v>
      </c>
      <c r="J1591" s="5" t="s">
        <v>30</v>
      </c>
      <c r="K1591" s="5"/>
      <c r="L1591" t="s">
        <v>43</v>
      </c>
    </row>
    <row r="1592" spans="1:12" ht="18.75" customHeight="1" x14ac:dyDescent="0.3">
      <c r="A1592" s="30">
        <v>1610</v>
      </c>
      <c r="B1592" s="29"/>
      <c r="C1592" s="5" t="s">
        <v>40</v>
      </c>
      <c r="D1592" s="7">
        <v>352</v>
      </c>
      <c r="E1592" s="31">
        <v>142485</v>
      </c>
      <c r="F1592" s="29"/>
      <c r="G1592" s="32">
        <v>45682</v>
      </c>
      <c r="H1592" s="29"/>
      <c r="I1592" s="5" t="s">
        <v>15</v>
      </c>
      <c r="J1592" s="5" t="s">
        <v>30</v>
      </c>
      <c r="K1592" s="5"/>
      <c r="L1592" t="s">
        <v>41</v>
      </c>
    </row>
    <row r="1593" spans="1:12" ht="18.75" customHeight="1" x14ac:dyDescent="0.3">
      <c r="A1593" s="30">
        <v>1611</v>
      </c>
      <c r="B1593" s="29"/>
      <c r="C1593" s="5" t="s">
        <v>40</v>
      </c>
      <c r="D1593" s="7">
        <v>383</v>
      </c>
      <c r="E1593" s="31">
        <v>136584</v>
      </c>
      <c r="F1593" s="29"/>
      <c r="G1593" s="32">
        <v>45677</v>
      </c>
      <c r="H1593" s="29"/>
      <c r="I1593" s="5" t="s">
        <v>28</v>
      </c>
      <c r="J1593" s="5" t="s">
        <v>66</v>
      </c>
      <c r="K1593" s="5"/>
      <c r="L1593" t="s">
        <v>43</v>
      </c>
    </row>
    <row r="1594" spans="1:12" ht="18.75" customHeight="1" x14ac:dyDescent="0.3">
      <c r="A1594" s="30">
        <v>1612</v>
      </c>
      <c r="B1594" s="29"/>
      <c r="C1594" s="5" t="s">
        <v>40</v>
      </c>
      <c r="D1594" s="7">
        <v>595</v>
      </c>
      <c r="E1594" s="31">
        <v>141761</v>
      </c>
      <c r="F1594" s="29"/>
      <c r="G1594" s="32">
        <v>45679</v>
      </c>
      <c r="H1594" s="29"/>
      <c r="I1594" s="5" t="s">
        <v>28</v>
      </c>
      <c r="J1594" s="5" t="s">
        <v>66</v>
      </c>
      <c r="K1594" s="5"/>
      <c r="L1594" t="s">
        <v>44</v>
      </c>
    </row>
    <row r="1595" spans="1:12" ht="18.75" customHeight="1" x14ac:dyDescent="0.3">
      <c r="A1595" s="30">
        <v>1613</v>
      </c>
      <c r="B1595" s="29"/>
      <c r="C1595" s="5" t="s">
        <v>40</v>
      </c>
      <c r="D1595" s="7">
        <v>500</v>
      </c>
      <c r="E1595" s="31">
        <v>136593</v>
      </c>
      <c r="F1595" s="29"/>
      <c r="G1595" s="32">
        <v>45680</v>
      </c>
      <c r="H1595" s="29"/>
      <c r="I1595" s="5" t="s">
        <v>28</v>
      </c>
      <c r="J1595" s="5" t="s">
        <v>66</v>
      </c>
      <c r="K1595" s="5"/>
      <c r="L1595" t="s">
        <v>43</v>
      </c>
    </row>
    <row r="1596" spans="1:12" ht="18.75" customHeight="1" x14ac:dyDescent="0.3">
      <c r="A1596" s="30">
        <v>1614</v>
      </c>
      <c r="B1596" s="29"/>
      <c r="C1596" s="5" t="s">
        <v>40</v>
      </c>
      <c r="D1596" s="7">
        <v>592</v>
      </c>
      <c r="E1596" s="31">
        <v>136598</v>
      </c>
      <c r="F1596" s="29"/>
      <c r="G1596" s="32">
        <v>45681</v>
      </c>
      <c r="H1596" s="29"/>
      <c r="I1596" s="5" t="s">
        <v>28</v>
      </c>
      <c r="J1596" s="5" t="s">
        <v>66</v>
      </c>
      <c r="K1596" s="5"/>
      <c r="L1596" t="s">
        <v>43</v>
      </c>
    </row>
    <row r="1597" spans="1:12" ht="18.75" customHeight="1" x14ac:dyDescent="0.3">
      <c r="A1597" s="30">
        <v>1615</v>
      </c>
      <c r="B1597" s="29"/>
      <c r="C1597" s="5" t="s">
        <v>40</v>
      </c>
      <c r="D1597" s="7">
        <v>652</v>
      </c>
      <c r="E1597" s="31">
        <v>136600</v>
      </c>
      <c r="F1597" s="29"/>
      <c r="G1597" s="32">
        <v>45682</v>
      </c>
      <c r="H1597" s="29"/>
      <c r="I1597" s="5" t="s">
        <v>28</v>
      </c>
      <c r="J1597" s="5" t="s">
        <v>66</v>
      </c>
      <c r="K1597" s="5"/>
      <c r="L1597" t="s">
        <v>43</v>
      </c>
    </row>
    <row r="1598" spans="1:12" ht="18.75" customHeight="1" x14ac:dyDescent="0.3">
      <c r="A1598" s="30">
        <v>1616</v>
      </c>
      <c r="B1598" s="29"/>
      <c r="C1598" s="5" t="s">
        <v>14</v>
      </c>
      <c r="D1598" s="7">
        <v>258</v>
      </c>
      <c r="E1598" s="31">
        <v>25651</v>
      </c>
      <c r="F1598" s="29"/>
      <c r="G1598" s="32">
        <v>45677</v>
      </c>
      <c r="H1598" s="29"/>
      <c r="I1598" s="5" t="s">
        <v>54</v>
      </c>
      <c r="J1598" s="5" t="s">
        <v>93</v>
      </c>
      <c r="K1598" s="5" t="s">
        <v>16</v>
      </c>
    </row>
    <row r="1599" spans="1:12" ht="18.75" customHeight="1" x14ac:dyDescent="0.3">
      <c r="A1599" s="30">
        <v>1617</v>
      </c>
      <c r="B1599" s="29"/>
      <c r="C1599" s="5" t="s">
        <v>14</v>
      </c>
      <c r="D1599" s="7">
        <v>146</v>
      </c>
      <c r="E1599" s="31">
        <v>25663</v>
      </c>
      <c r="F1599" s="29"/>
      <c r="G1599" s="32">
        <v>45678</v>
      </c>
      <c r="H1599" s="29"/>
      <c r="I1599" s="5" t="s">
        <v>54</v>
      </c>
      <c r="J1599" s="5" t="s">
        <v>93</v>
      </c>
      <c r="K1599" s="5" t="s">
        <v>16</v>
      </c>
    </row>
    <row r="1600" spans="1:12" ht="18.75" customHeight="1" x14ac:dyDescent="0.3">
      <c r="A1600" s="30">
        <v>1618</v>
      </c>
      <c r="B1600" s="29"/>
      <c r="C1600" s="5" t="s">
        <v>14</v>
      </c>
      <c r="D1600" s="7">
        <v>85</v>
      </c>
      <c r="E1600" s="31">
        <v>117115</v>
      </c>
      <c r="F1600" s="29"/>
      <c r="G1600" s="32">
        <v>45678</v>
      </c>
      <c r="H1600" s="29"/>
      <c r="I1600" s="5" t="s">
        <v>54</v>
      </c>
      <c r="J1600" s="5" t="s">
        <v>93</v>
      </c>
      <c r="K1600" s="5" t="s">
        <v>16</v>
      </c>
    </row>
    <row r="1601" spans="1:11" ht="18.75" customHeight="1" x14ac:dyDescent="0.3">
      <c r="A1601" s="30">
        <v>1619</v>
      </c>
      <c r="B1601" s="29"/>
      <c r="C1601" s="5" t="s">
        <v>14</v>
      </c>
      <c r="D1601" s="7">
        <v>270</v>
      </c>
      <c r="E1601" s="31">
        <v>25668</v>
      </c>
      <c r="F1601" s="29"/>
      <c r="G1601" s="32">
        <v>45679</v>
      </c>
      <c r="H1601" s="29"/>
      <c r="I1601" s="5" t="s">
        <v>54</v>
      </c>
      <c r="J1601" s="5" t="s">
        <v>93</v>
      </c>
      <c r="K1601" s="5" t="s">
        <v>16</v>
      </c>
    </row>
    <row r="1602" spans="1:11" ht="18.75" customHeight="1" x14ac:dyDescent="0.3">
      <c r="A1602" s="30">
        <v>1620</v>
      </c>
      <c r="B1602" s="29"/>
      <c r="C1602" s="5" t="s">
        <v>14</v>
      </c>
      <c r="D1602" s="7">
        <v>310</v>
      </c>
      <c r="E1602" s="31">
        <v>25679</v>
      </c>
      <c r="F1602" s="29"/>
      <c r="G1602" s="32">
        <v>45680</v>
      </c>
      <c r="H1602" s="29"/>
      <c r="I1602" s="5" t="s">
        <v>54</v>
      </c>
      <c r="J1602" s="5" t="s">
        <v>93</v>
      </c>
      <c r="K1602" s="5" t="s">
        <v>16</v>
      </c>
    </row>
    <row r="1603" spans="1:11" ht="18.75" customHeight="1" x14ac:dyDescent="0.3">
      <c r="A1603" s="30">
        <v>1621</v>
      </c>
      <c r="B1603" s="29"/>
      <c r="C1603" s="5" t="s">
        <v>14</v>
      </c>
      <c r="D1603" s="7">
        <v>335</v>
      </c>
      <c r="E1603" s="31">
        <v>25694</v>
      </c>
      <c r="F1603" s="29"/>
      <c r="G1603" s="32">
        <v>45681</v>
      </c>
      <c r="H1603" s="29"/>
      <c r="I1603" s="5" t="s">
        <v>54</v>
      </c>
      <c r="J1603" s="5" t="s">
        <v>93</v>
      </c>
      <c r="K1603" s="5" t="s">
        <v>16</v>
      </c>
    </row>
    <row r="1604" spans="1:11" ht="18.75" customHeight="1" x14ac:dyDescent="0.3">
      <c r="A1604" s="30">
        <v>1622</v>
      </c>
      <c r="B1604" s="29"/>
      <c r="C1604" s="5" t="s">
        <v>14</v>
      </c>
      <c r="D1604" s="7">
        <v>223</v>
      </c>
      <c r="E1604" s="31">
        <v>25709</v>
      </c>
      <c r="F1604" s="29"/>
      <c r="G1604" s="32">
        <v>45682</v>
      </c>
      <c r="H1604" s="29"/>
      <c r="I1604" s="5" t="s">
        <v>54</v>
      </c>
      <c r="J1604" s="5" t="s">
        <v>93</v>
      </c>
      <c r="K1604" s="5" t="s">
        <v>16</v>
      </c>
    </row>
    <row r="1605" spans="1:11" ht="18.75" customHeight="1" x14ac:dyDescent="0.3">
      <c r="A1605" s="30">
        <v>1623</v>
      </c>
      <c r="B1605" s="29"/>
      <c r="C1605" s="5" t="s">
        <v>14</v>
      </c>
      <c r="D1605" s="7">
        <v>340</v>
      </c>
      <c r="E1605" s="31">
        <v>117202</v>
      </c>
      <c r="F1605" s="29"/>
      <c r="G1605" s="32">
        <v>45682</v>
      </c>
      <c r="H1605" s="29"/>
      <c r="I1605" s="5" t="s">
        <v>54</v>
      </c>
      <c r="J1605" s="5" t="s">
        <v>93</v>
      </c>
      <c r="K1605" s="5" t="s">
        <v>16</v>
      </c>
    </row>
    <row r="1606" spans="1:11" ht="18.75" customHeight="1" x14ac:dyDescent="0.3">
      <c r="A1606" s="30">
        <v>1624</v>
      </c>
      <c r="B1606" s="29"/>
      <c r="C1606" s="5" t="s">
        <v>14</v>
      </c>
      <c r="D1606" s="7">
        <v>184</v>
      </c>
      <c r="E1606" s="31">
        <v>25639</v>
      </c>
      <c r="F1606" s="29"/>
      <c r="G1606" s="32">
        <v>45676</v>
      </c>
      <c r="H1606" s="29"/>
      <c r="I1606" s="5" t="s">
        <v>28</v>
      </c>
      <c r="J1606" s="5" t="s">
        <v>66</v>
      </c>
      <c r="K1606" s="5" t="s">
        <v>17</v>
      </c>
    </row>
    <row r="1607" spans="1:11" ht="18.75" customHeight="1" x14ac:dyDescent="0.3">
      <c r="A1607" s="30">
        <v>1625</v>
      </c>
      <c r="B1607" s="29"/>
      <c r="C1607" s="5" t="s">
        <v>14</v>
      </c>
      <c r="D1607" s="7">
        <v>309</v>
      </c>
      <c r="E1607" s="31">
        <v>25647</v>
      </c>
      <c r="F1607" s="29"/>
      <c r="G1607" s="32">
        <v>45677</v>
      </c>
      <c r="H1607" s="29"/>
      <c r="I1607" s="5" t="s">
        <v>28</v>
      </c>
      <c r="J1607" s="5" t="s">
        <v>66</v>
      </c>
      <c r="K1607" s="5" t="s">
        <v>17</v>
      </c>
    </row>
    <row r="1608" spans="1:11" ht="18.75" customHeight="1" x14ac:dyDescent="0.3">
      <c r="A1608" s="30">
        <v>1626</v>
      </c>
      <c r="B1608" s="29"/>
      <c r="C1608" s="5" t="s">
        <v>14</v>
      </c>
      <c r="D1608" s="7">
        <v>290</v>
      </c>
      <c r="E1608" s="31">
        <v>25665</v>
      </c>
      <c r="F1608" s="29"/>
      <c r="G1608" s="32">
        <v>45678</v>
      </c>
      <c r="H1608" s="29"/>
      <c r="I1608" s="5" t="s">
        <v>28</v>
      </c>
      <c r="J1608" s="5" t="s">
        <v>66</v>
      </c>
      <c r="K1608" s="5" t="s">
        <v>17</v>
      </c>
    </row>
    <row r="1609" spans="1:11" ht="18.75" customHeight="1" x14ac:dyDescent="0.3">
      <c r="A1609" s="30">
        <v>1627</v>
      </c>
      <c r="B1609" s="29"/>
      <c r="C1609" s="5" t="s">
        <v>14</v>
      </c>
      <c r="D1609" s="7">
        <v>431</v>
      </c>
      <c r="E1609" s="31">
        <v>25672</v>
      </c>
      <c r="F1609" s="29"/>
      <c r="G1609" s="32">
        <v>45679</v>
      </c>
      <c r="H1609" s="29"/>
      <c r="I1609" s="5" t="s">
        <v>28</v>
      </c>
      <c r="J1609" s="5" t="s">
        <v>66</v>
      </c>
      <c r="K1609" s="5" t="s">
        <v>17</v>
      </c>
    </row>
    <row r="1610" spans="1:11" ht="18.75" customHeight="1" x14ac:dyDescent="0.3">
      <c r="A1610" s="30">
        <v>1628</v>
      </c>
      <c r="B1610" s="29"/>
      <c r="C1610" s="5" t="s">
        <v>14</v>
      </c>
      <c r="D1610" s="7">
        <v>404</v>
      </c>
      <c r="E1610" s="31">
        <v>25682</v>
      </c>
      <c r="F1610" s="29"/>
      <c r="G1610" s="32">
        <v>45680</v>
      </c>
      <c r="H1610" s="29"/>
      <c r="I1610" s="5" t="s">
        <v>28</v>
      </c>
      <c r="J1610" s="5" t="s">
        <v>66</v>
      </c>
      <c r="K1610" s="5" t="s">
        <v>17</v>
      </c>
    </row>
    <row r="1611" spans="1:11" ht="18.75" customHeight="1" x14ac:dyDescent="0.3">
      <c r="A1611" s="30">
        <v>1629</v>
      </c>
      <c r="B1611" s="29"/>
      <c r="C1611" s="5" t="s">
        <v>14</v>
      </c>
      <c r="D1611" s="7">
        <v>401</v>
      </c>
      <c r="E1611" s="31">
        <v>25696</v>
      </c>
      <c r="F1611" s="29"/>
      <c r="G1611" s="32">
        <v>45681</v>
      </c>
      <c r="H1611" s="29"/>
      <c r="I1611" s="5" t="s">
        <v>28</v>
      </c>
      <c r="J1611" s="5" t="s">
        <v>66</v>
      </c>
      <c r="K1611" s="5" t="s">
        <v>17</v>
      </c>
    </row>
    <row r="1612" spans="1:11" ht="18.75" customHeight="1" x14ac:dyDescent="0.3">
      <c r="A1612" s="30">
        <v>1630</v>
      </c>
      <c r="B1612" s="29"/>
      <c r="C1612" s="5" t="s">
        <v>14</v>
      </c>
      <c r="D1612" s="7">
        <v>241</v>
      </c>
      <c r="E1612" s="31">
        <v>25704</v>
      </c>
      <c r="F1612" s="29"/>
      <c r="G1612" s="32">
        <v>45682</v>
      </c>
      <c r="H1612" s="29"/>
      <c r="I1612" s="5" t="s">
        <v>28</v>
      </c>
      <c r="J1612" s="5" t="s">
        <v>66</v>
      </c>
      <c r="K1612" s="5" t="s">
        <v>17</v>
      </c>
    </row>
    <row r="1613" spans="1:11" ht="18.75" customHeight="1" x14ac:dyDescent="0.3">
      <c r="A1613" s="30">
        <v>1631</v>
      </c>
      <c r="B1613" s="29"/>
      <c r="C1613" s="5" t="s">
        <v>14</v>
      </c>
      <c r="D1613" s="7">
        <v>295</v>
      </c>
      <c r="E1613" s="31">
        <v>25726</v>
      </c>
      <c r="F1613" s="29"/>
      <c r="G1613" s="32">
        <v>45684</v>
      </c>
      <c r="H1613" s="29"/>
      <c r="I1613" s="5" t="s">
        <v>54</v>
      </c>
      <c r="J1613" s="5" t="s">
        <v>16</v>
      </c>
      <c r="K1613" s="5" t="s">
        <v>93</v>
      </c>
    </row>
    <row r="1614" spans="1:11" ht="18.75" customHeight="1" x14ac:dyDescent="0.3">
      <c r="A1614" s="30">
        <v>1632</v>
      </c>
      <c r="B1614" s="29"/>
      <c r="C1614" s="5" t="s">
        <v>14</v>
      </c>
      <c r="D1614" s="7">
        <v>259</v>
      </c>
      <c r="E1614" s="31">
        <v>25736</v>
      </c>
      <c r="F1614" s="29"/>
      <c r="G1614" s="32">
        <v>45685</v>
      </c>
      <c r="H1614" s="29"/>
      <c r="I1614" s="5" t="s">
        <v>54</v>
      </c>
      <c r="J1614" s="5" t="s">
        <v>16</v>
      </c>
      <c r="K1614" s="5" t="s">
        <v>93</v>
      </c>
    </row>
    <row r="1615" spans="1:11" ht="18.75" customHeight="1" x14ac:dyDescent="0.3">
      <c r="A1615" s="30">
        <v>1633</v>
      </c>
      <c r="B1615" s="29"/>
      <c r="C1615" s="5" t="s">
        <v>14</v>
      </c>
      <c r="D1615" s="7">
        <v>331</v>
      </c>
      <c r="E1615" s="31">
        <v>25744</v>
      </c>
      <c r="F1615" s="29"/>
      <c r="G1615" s="32">
        <v>45686</v>
      </c>
      <c r="H1615" s="29"/>
      <c r="I1615" s="5" t="s">
        <v>54</v>
      </c>
      <c r="J1615" s="5" t="s">
        <v>16</v>
      </c>
      <c r="K1615" s="5" t="s">
        <v>93</v>
      </c>
    </row>
    <row r="1616" spans="1:11" ht="18.75" customHeight="1" x14ac:dyDescent="0.3">
      <c r="A1616" s="30">
        <v>1634</v>
      </c>
      <c r="B1616" s="29"/>
      <c r="C1616" s="5" t="s">
        <v>14</v>
      </c>
      <c r="D1616" s="7">
        <v>267</v>
      </c>
      <c r="E1616" s="31">
        <v>25757</v>
      </c>
      <c r="F1616" s="29"/>
      <c r="G1616" s="32">
        <v>45687</v>
      </c>
      <c r="H1616" s="29"/>
      <c r="I1616" s="5" t="s">
        <v>54</v>
      </c>
      <c r="J1616" s="5" t="s">
        <v>16</v>
      </c>
      <c r="K1616" s="5" t="s">
        <v>93</v>
      </c>
    </row>
    <row r="1617" spans="1:12" ht="18.75" customHeight="1" x14ac:dyDescent="0.3">
      <c r="A1617" s="30">
        <v>1635</v>
      </c>
      <c r="B1617" s="29"/>
      <c r="C1617" s="5" t="s">
        <v>14</v>
      </c>
      <c r="D1617" s="7">
        <v>302</v>
      </c>
      <c r="E1617" s="31">
        <v>25771</v>
      </c>
      <c r="F1617" s="29"/>
      <c r="G1617" s="32">
        <v>45688</v>
      </c>
      <c r="H1617" s="29"/>
      <c r="I1617" s="5" t="s">
        <v>54</v>
      </c>
      <c r="J1617" s="5" t="s">
        <v>16</v>
      </c>
      <c r="K1617" s="5" t="s">
        <v>93</v>
      </c>
    </row>
    <row r="1618" spans="1:12" ht="18.75" customHeight="1" x14ac:dyDescent="0.3">
      <c r="A1618" s="30">
        <v>1636</v>
      </c>
      <c r="B1618" s="29"/>
      <c r="C1618" s="5" t="s">
        <v>14</v>
      </c>
      <c r="D1618" s="7">
        <v>200</v>
      </c>
      <c r="E1618" s="31">
        <v>25781</v>
      </c>
      <c r="F1618" s="29"/>
      <c r="G1618" s="32">
        <v>45689</v>
      </c>
      <c r="H1618" s="29"/>
      <c r="I1618" s="5" t="s">
        <v>54</v>
      </c>
      <c r="J1618" s="5" t="s">
        <v>16</v>
      </c>
      <c r="K1618" s="5" t="s">
        <v>94</v>
      </c>
    </row>
    <row r="1619" spans="1:12" ht="18.75" customHeight="1" x14ac:dyDescent="0.3">
      <c r="A1619" s="30">
        <v>1637</v>
      </c>
      <c r="B1619" s="29"/>
      <c r="C1619" s="5" t="s">
        <v>14</v>
      </c>
      <c r="D1619" s="7">
        <v>311</v>
      </c>
      <c r="E1619" s="31">
        <v>25722</v>
      </c>
      <c r="F1619" s="29"/>
      <c r="G1619" s="32">
        <v>45684</v>
      </c>
      <c r="H1619" s="29"/>
      <c r="I1619" s="5" t="s">
        <v>28</v>
      </c>
      <c r="J1619" s="5" t="s">
        <v>66</v>
      </c>
      <c r="K1619" s="5" t="s">
        <v>17</v>
      </c>
    </row>
    <row r="1620" spans="1:12" ht="18.75" customHeight="1" x14ac:dyDescent="0.3">
      <c r="A1620" s="30">
        <v>1638</v>
      </c>
      <c r="B1620" s="29"/>
      <c r="C1620" s="5" t="s">
        <v>14</v>
      </c>
      <c r="D1620" s="7">
        <v>311</v>
      </c>
      <c r="E1620" s="31">
        <v>25737</v>
      </c>
      <c r="F1620" s="29"/>
      <c r="G1620" s="32">
        <v>45685</v>
      </c>
      <c r="H1620" s="29"/>
      <c r="I1620" s="5" t="s">
        <v>28</v>
      </c>
      <c r="J1620" s="5" t="s">
        <v>66</v>
      </c>
      <c r="K1620" s="5" t="s">
        <v>17</v>
      </c>
    </row>
    <row r="1621" spans="1:12" ht="18.75" customHeight="1" x14ac:dyDescent="0.3">
      <c r="A1621" s="30">
        <v>1639</v>
      </c>
      <c r="B1621" s="29"/>
      <c r="C1621" s="5" t="s">
        <v>14</v>
      </c>
      <c r="D1621" s="7">
        <v>426</v>
      </c>
      <c r="E1621" s="31">
        <v>25747</v>
      </c>
      <c r="F1621" s="29"/>
      <c r="G1621" s="32">
        <v>45686</v>
      </c>
      <c r="H1621" s="29"/>
      <c r="I1621" s="5" t="s">
        <v>28</v>
      </c>
      <c r="J1621" s="5" t="s">
        <v>66</v>
      </c>
      <c r="K1621" s="5" t="s">
        <v>17</v>
      </c>
    </row>
    <row r="1622" spans="1:12" ht="18.75" customHeight="1" x14ac:dyDescent="0.3">
      <c r="A1622" s="30">
        <v>1640</v>
      </c>
      <c r="B1622" s="29"/>
      <c r="C1622" s="5" t="s">
        <v>14</v>
      </c>
      <c r="D1622" s="7">
        <v>324</v>
      </c>
      <c r="E1622" s="31">
        <v>25755</v>
      </c>
      <c r="F1622" s="29"/>
      <c r="G1622" s="32">
        <v>45687</v>
      </c>
      <c r="H1622" s="29"/>
      <c r="I1622" s="5" t="s">
        <v>28</v>
      </c>
      <c r="J1622" s="5" t="s">
        <v>66</v>
      </c>
      <c r="K1622" s="5" t="s">
        <v>17</v>
      </c>
    </row>
    <row r="1623" spans="1:12" ht="18.75" customHeight="1" x14ac:dyDescent="0.3">
      <c r="A1623" s="30">
        <v>1641</v>
      </c>
      <c r="B1623" s="29"/>
      <c r="C1623" s="5" t="s">
        <v>14</v>
      </c>
      <c r="D1623" s="7">
        <v>297</v>
      </c>
      <c r="E1623" s="31">
        <v>25768</v>
      </c>
      <c r="F1623" s="29"/>
      <c r="G1623" s="32">
        <v>45688</v>
      </c>
      <c r="H1623" s="29"/>
      <c r="I1623" s="5" t="s">
        <v>15</v>
      </c>
      <c r="J1623" s="5" t="s">
        <v>30</v>
      </c>
      <c r="K1623" s="5" t="s">
        <v>17</v>
      </c>
    </row>
    <row r="1624" spans="1:12" ht="18.75" customHeight="1" x14ac:dyDescent="0.3">
      <c r="A1624" s="30">
        <v>1642</v>
      </c>
      <c r="B1624" s="29"/>
      <c r="C1624" s="5" t="s">
        <v>14</v>
      </c>
      <c r="D1624" s="7">
        <v>275</v>
      </c>
      <c r="E1624" s="31">
        <v>25787</v>
      </c>
      <c r="F1624" s="29"/>
      <c r="G1624" s="32">
        <v>45689</v>
      </c>
      <c r="H1624" s="29"/>
      <c r="I1624" s="5" t="s">
        <v>28</v>
      </c>
      <c r="J1624" s="5" t="s">
        <v>66</v>
      </c>
      <c r="K1624" s="5" t="s">
        <v>17</v>
      </c>
    </row>
    <row r="1625" spans="1:12" ht="18.75" customHeight="1" x14ac:dyDescent="0.3">
      <c r="A1625" s="30">
        <v>1643</v>
      </c>
      <c r="B1625" s="29"/>
      <c r="C1625" s="5" t="s">
        <v>40</v>
      </c>
      <c r="D1625" s="7">
        <v>400</v>
      </c>
      <c r="E1625" s="31">
        <v>142496</v>
      </c>
      <c r="F1625" s="29"/>
      <c r="G1625" s="32">
        <v>45683</v>
      </c>
      <c r="H1625" s="29"/>
      <c r="I1625" s="5" t="s">
        <v>15</v>
      </c>
      <c r="J1625" s="5" t="s">
        <v>30</v>
      </c>
      <c r="K1625" s="5"/>
      <c r="L1625" t="s">
        <v>41</v>
      </c>
    </row>
    <row r="1626" spans="1:12" ht="18.75" customHeight="1" x14ac:dyDescent="0.3">
      <c r="A1626" s="30">
        <v>1644</v>
      </c>
      <c r="B1626" s="29"/>
      <c r="C1626" s="5" t="s">
        <v>40</v>
      </c>
      <c r="D1626" s="7">
        <v>505</v>
      </c>
      <c r="E1626" s="31">
        <v>137505</v>
      </c>
      <c r="F1626" s="29"/>
      <c r="G1626" s="32">
        <v>45684</v>
      </c>
      <c r="H1626" s="29"/>
      <c r="I1626" s="5" t="s">
        <v>15</v>
      </c>
      <c r="J1626" s="5" t="s">
        <v>30</v>
      </c>
      <c r="K1626" s="5"/>
      <c r="L1626" t="s">
        <v>43</v>
      </c>
    </row>
    <row r="1627" spans="1:12" ht="18.75" customHeight="1" x14ac:dyDescent="0.3">
      <c r="A1627" s="30">
        <v>1645</v>
      </c>
      <c r="B1627" s="29"/>
      <c r="C1627" s="5" t="s">
        <v>40</v>
      </c>
      <c r="D1627" s="7">
        <v>466</v>
      </c>
      <c r="E1627" s="31">
        <v>137511</v>
      </c>
      <c r="F1627" s="29"/>
      <c r="G1627" s="32">
        <v>45685</v>
      </c>
      <c r="H1627" s="29"/>
      <c r="I1627" s="5" t="s">
        <v>15</v>
      </c>
      <c r="J1627" s="5" t="s">
        <v>30</v>
      </c>
      <c r="K1627" s="5"/>
      <c r="L1627" t="s">
        <v>43</v>
      </c>
    </row>
    <row r="1628" spans="1:12" ht="18.75" customHeight="1" x14ac:dyDescent="0.3">
      <c r="A1628" s="30">
        <v>1646</v>
      </c>
      <c r="B1628" s="29"/>
      <c r="C1628" s="5" t="s">
        <v>40</v>
      </c>
      <c r="D1628" s="7">
        <v>488</v>
      </c>
      <c r="E1628" s="31">
        <v>140057</v>
      </c>
      <c r="F1628" s="29"/>
      <c r="G1628" s="32">
        <v>45685</v>
      </c>
      <c r="H1628" s="29"/>
      <c r="I1628" s="5" t="s">
        <v>15</v>
      </c>
      <c r="J1628" s="5" t="s">
        <v>30</v>
      </c>
      <c r="K1628" s="5"/>
      <c r="L1628" t="s">
        <v>44</v>
      </c>
    </row>
    <row r="1629" spans="1:12" ht="18.75" customHeight="1" x14ac:dyDescent="0.3">
      <c r="A1629" s="30">
        <v>1647</v>
      </c>
      <c r="B1629" s="29"/>
      <c r="C1629" s="5" t="s">
        <v>40</v>
      </c>
      <c r="D1629" s="7">
        <v>400</v>
      </c>
      <c r="E1629" s="31">
        <v>141922</v>
      </c>
      <c r="F1629" s="29"/>
      <c r="G1629" s="32">
        <v>45686</v>
      </c>
      <c r="H1629" s="29"/>
      <c r="I1629" s="5" t="s">
        <v>15</v>
      </c>
      <c r="J1629" s="5" t="s">
        <v>30</v>
      </c>
      <c r="K1629" s="5"/>
      <c r="L1629" t="s">
        <v>41</v>
      </c>
    </row>
    <row r="1630" spans="1:12" ht="18.75" customHeight="1" x14ac:dyDescent="0.3">
      <c r="A1630" s="30">
        <v>1648</v>
      </c>
      <c r="B1630" s="29"/>
      <c r="C1630" s="5" t="s">
        <v>40</v>
      </c>
      <c r="D1630" s="7">
        <v>528</v>
      </c>
      <c r="E1630" s="31">
        <v>141784</v>
      </c>
      <c r="F1630" s="29"/>
      <c r="G1630" s="32">
        <v>45687</v>
      </c>
      <c r="H1630" s="29"/>
      <c r="I1630" s="5" t="s">
        <v>15</v>
      </c>
      <c r="J1630" s="5" t="s">
        <v>30</v>
      </c>
      <c r="K1630" s="5"/>
      <c r="L1630" t="s">
        <v>44</v>
      </c>
    </row>
    <row r="1631" spans="1:12" ht="18.75" customHeight="1" x14ac:dyDescent="0.3">
      <c r="A1631" s="30">
        <v>1649</v>
      </c>
      <c r="B1631" s="29"/>
      <c r="C1631" s="5" t="s">
        <v>40</v>
      </c>
      <c r="D1631" s="7">
        <v>522</v>
      </c>
      <c r="E1631" s="31">
        <v>141778</v>
      </c>
      <c r="F1631" s="29"/>
      <c r="G1631" s="32">
        <v>45686</v>
      </c>
      <c r="H1631" s="29"/>
      <c r="I1631" s="5" t="s">
        <v>15</v>
      </c>
      <c r="J1631" s="5" t="s">
        <v>30</v>
      </c>
      <c r="K1631" s="5"/>
      <c r="L1631" t="s">
        <v>44</v>
      </c>
    </row>
    <row r="1632" spans="1:12" ht="18.75" customHeight="1" x14ac:dyDescent="0.3">
      <c r="A1632" s="30">
        <v>1650</v>
      </c>
      <c r="B1632" s="29"/>
      <c r="C1632" s="5" t="s">
        <v>40</v>
      </c>
      <c r="D1632" s="7">
        <v>623</v>
      </c>
      <c r="E1632" s="31">
        <v>141793</v>
      </c>
      <c r="F1632" s="29"/>
      <c r="G1632" s="32">
        <v>45688</v>
      </c>
      <c r="H1632" s="29"/>
      <c r="I1632" s="5" t="s">
        <v>15</v>
      </c>
      <c r="J1632" s="5" t="s">
        <v>30</v>
      </c>
      <c r="K1632" s="5"/>
      <c r="L1632" t="s">
        <v>44</v>
      </c>
    </row>
    <row r="1633" spans="1:12" ht="18.75" customHeight="1" x14ac:dyDescent="0.3">
      <c r="A1633" s="30">
        <v>1651</v>
      </c>
      <c r="B1633" s="29"/>
      <c r="C1633" s="5" t="s">
        <v>40</v>
      </c>
      <c r="D1633" s="7">
        <v>350</v>
      </c>
      <c r="E1633" s="31">
        <v>138910</v>
      </c>
      <c r="F1633" s="29"/>
      <c r="G1633" s="32">
        <v>45689</v>
      </c>
      <c r="H1633" s="29"/>
      <c r="I1633" s="5" t="s">
        <v>15</v>
      </c>
      <c r="J1633" s="5" t="s">
        <v>30</v>
      </c>
      <c r="K1633" s="5"/>
      <c r="L1633" t="s">
        <v>42</v>
      </c>
    </row>
    <row r="1634" spans="1:12" ht="18.75" customHeight="1" x14ac:dyDescent="0.3">
      <c r="A1634" s="30">
        <v>1652</v>
      </c>
      <c r="B1634" s="29"/>
      <c r="C1634" s="5" t="s">
        <v>40</v>
      </c>
      <c r="D1634" s="7">
        <v>400</v>
      </c>
      <c r="E1634" s="31">
        <v>142500</v>
      </c>
      <c r="F1634" s="29"/>
      <c r="G1634" s="32">
        <v>45683</v>
      </c>
      <c r="H1634" s="29"/>
      <c r="I1634" s="5" t="s">
        <v>28</v>
      </c>
      <c r="J1634" s="5" t="s">
        <v>66</v>
      </c>
      <c r="K1634" s="5"/>
      <c r="L1634" t="s">
        <v>41</v>
      </c>
    </row>
    <row r="1635" spans="1:12" ht="18.75" customHeight="1" x14ac:dyDescent="0.3">
      <c r="A1635" s="30">
        <v>1653</v>
      </c>
      <c r="B1635" s="29"/>
      <c r="C1635" s="5" t="s">
        <v>40</v>
      </c>
      <c r="D1635" s="7">
        <v>670</v>
      </c>
      <c r="E1635" s="31">
        <v>137507</v>
      </c>
      <c r="F1635" s="29"/>
      <c r="G1635" s="32">
        <v>45684</v>
      </c>
      <c r="H1635" s="29"/>
      <c r="I1635" s="5" t="s">
        <v>28</v>
      </c>
      <c r="J1635" s="5" t="s">
        <v>66</v>
      </c>
      <c r="K1635" s="5"/>
      <c r="L1635" t="s">
        <v>43</v>
      </c>
    </row>
    <row r="1636" spans="1:12" ht="18.75" customHeight="1" x14ac:dyDescent="0.3">
      <c r="A1636" s="30">
        <v>1654</v>
      </c>
      <c r="B1636" s="29"/>
      <c r="C1636" s="5" t="s">
        <v>40</v>
      </c>
      <c r="D1636" s="7">
        <v>400</v>
      </c>
      <c r="E1636" s="31">
        <v>141918</v>
      </c>
      <c r="F1636" s="29"/>
      <c r="G1636" s="32">
        <v>45686</v>
      </c>
      <c r="H1636" s="29"/>
      <c r="I1636" s="5" t="s">
        <v>28</v>
      </c>
      <c r="J1636" s="5" t="s">
        <v>66</v>
      </c>
      <c r="K1636" s="5"/>
      <c r="L1636" t="s">
        <v>41</v>
      </c>
    </row>
    <row r="1637" spans="1:12" ht="18.75" customHeight="1" x14ac:dyDescent="0.3">
      <c r="A1637" s="30">
        <v>1655</v>
      </c>
      <c r="B1637" s="29"/>
      <c r="C1637" s="5" t="s">
        <v>40</v>
      </c>
      <c r="D1637" s="7">
        <v>563</v>
      </c>
      <c r="E1637" s="31">
        <v>137512</v>
      </c>
      <c r="F1637" s="29"/>
      <c r="G1637" s="32">
        <v>45687</v>
      </c>
      <c r="H1637" s="29"/>
      <c r="I1637" s="5" t="s">
        <v>28</v>
      </c>
      <c r="J1637" s="5" t="s">
        <v>66</v>
      </c>
      <c r="K1637" s="5"/>
      <c r="L1637" t="s">
        <v>43</v>
      </c>
    </row>
    <row r="1638" spans="1:12" ht="18.75" customHeight="1" x14ac:dyDescent="0.3">
      <c r="A1638" s="30">
        <v>1656</v>
      </c>
      <c r="B1638" s="29"/>
      <c r="C1638" s="5" t="s">
        <v>14</v>
      </c>
      <c r="D1638" s="7">
        <v>360</v>
      </c>
      <c r="E1638" s="31">
        <v>25801</v>
      </c>
      <c r="F1638" s="29"/>
      <c r="G1638" s="32">
        <v>45691</v>
      </c>
      <c r="H1638" s="29"/>
      <c r="I1638" s="5" t="s">
        <v>54</v>
      </c>
      <c r="J1638" s="5" t="s">
        <v>16</v>
      </c>
      <c r="K1638" s="5" t="s">
        <v>62</v>
      </c>
    </row>
    <row r="1639" spans="1:12" ht="18.75" customHeight="1" x14ac:dyDescent="0.3">
      <c r="A1639" s="30">
        <v>1657</v>
      </c>
      <c r="B1639" s="29"/>
      <c r="C1639" s="5" t="s">
        <v>14</v>
      </c>
      <c r="D1639" s="7">
        <v>277</v>
      </c>
      <c r="E1639" s="31">
        <v>25815</v>
      </c>
      <c r="F1639" s="29"/>
      <c r="G1639" s="32">
        <v>45692</v>
      </c>
      <c r="H1639" s="29"/>
      <c r="I1639" s="5" t="s">
        <v>54</v>
      </c>
      <c r="J1639" s="5" t="s">
        <v>16</v>
      </c>
      <c r="K1639" s="5" t="s">
        <v>62</v>
      </c>
    </row>
    <row r="1640" spans="1:12" ht="18.75" customHeight="1" x14ac:dyDescent="0.3">
      <c r="A1640" s="30">
        <v>1658</v>
      </c>
      <c r="B1640" s="29"/>
      <c r="C1640" s="5" t="s">
        <v>14</v>
      </c>
      <c r="D1640" s="7">
        <v>261</v>
      </c>
      <c r="E1640" s="31">
        <v>25824</v>
      </c>
      <c r="F1640" s="29"/>
      <c r="G1640" s="32">
        <v>45693</v>
      </c>
      <c r="H1640" s="29"/>
      <c r="I1640" s="5" t="s">
        <v>54</v>
      </c>
      <c r="J1640" s="5" t="s">
        <v>16</v>
      </c>
      <c r="K1640" s="5" t="s">
        <v>62</v>
      </c>
    </row>
    <row r="1641" spans="1:12" ht="18.75" customHeight="1" x14ac:dyDescent="0.3">
      <c r="A1641" s="30">
        <v>1659</v>
      </c>
      <c r="B1641" s="29"/>
      <c r="C1641" s="5" t="s">
        <v>14</v>
      </c>
      <c r="D1641" s="7">
        <v>259</v>
      </c>
      <c r="E1641" s="31">
        <v>25829</v>
      </c>
      <c r="F1641" s="29"/>
      <c r="G1641" s="32">
        <v>45694</v>
      </c>
      <c r="H1641" s="29"/>
      <c r="I1641" s="5" t="s">
        <v>54</v>
      </c>
      <c r="J1641" s="5" t="s">
        <v>16</v>
      </c>
      <c r="K1641" s="5" t="s">
        <v>62</v>
      </c>
    </row>
    <row r="1642" spans="1:12" ht="18.75" customHeight="1" x14ac:dyDescent="0.3">
      <c r="A1642" s="30">
        <v>1660</v>
      </c>
      <c r="B1642" s="29"/>
      <c r="C1642" s="5" t="s">
        <v>14</v>
      </c>
      <c r="D1642" s="7">
        <v>357</v>
      </c>
      <c r="E1642" s="31">
        <v>25848</v>
      </c>
      <c r="F1642" s="29"/>
      <c r="G1642" s="32">
        <v>45695</v>
      </c>
      <c r="H1642" s="29"/>
      <c r="I1642" s="5" t="s">
        <v>54</v>
      </c>
      <c r="J1642" s="5" t="s">
        <v>16</v>
      </c>
      <c r="K1642" s="5" t="s">
        <v>62</v>
      </c>
    </row>
    <row r="1643" spans="1:12" ht="18.75" customHeight="1" x14ac:dyDescent="0.3">
      <c r="A1643" s="30">
        <v>1661</v>
      </c>
      <c r="B1643" s="29"/>
      <c r="C1643" s="5" t="s">
        <v>14</v>
      </c>
      <c r="D1643" s="7">
        <v>183</v>
      </c>
      <c r="E1643" s="31">
        <v>25852</v>
      </c>
      <c r="F1643" s="29"/>
      <c r="G1643" s="32">
        <v>45696</v>
      </c>
      <c r="H1643" s="29"/>
      <c r="I1643" s="5" t="s">
        <v>54</v>
      </c>
      <c r="J1643" s="5" t="s">
        <v>16</v>
      </c>
      <c r="K1643" s="5" t="s">
        <v>62</v>
      </c>
    </row>
    <row r="1644" spans="1:12" ht="18.75" customHeight="1" x14ac:dyDescent="0.3">
      <c r="A1644" s="30">
        <v>1662</v>
      </c>
      <c r="B1644" s="29"/>
      <c r="C1644" s="5" t="s">
        <v>14</v>
      </c>
      <c r="D1644" s="7">
        <v>214</v>
      </c>
      <c r="E1644" s="31">
        <v>25793</v>
      </c>
      <c r="F1644" s="29"/>
      <c r="G1644" s="32">
        <v>45690</v>
      </c>
      <c r="H1644" s="29"/>
      <c r="I1644" s="5" t="s">
        <v>28</v>
      </c>
      <c r="J1644" s="5" t="s">
        <v>66</v>
      </c>
      <c r="K1644" s="5" t="s">
        <v>17</v>
      </c>
    </row>
    <row r="1645" spans="1:12" ht="18.75" customHeight="1" x14ac:dyDescent="0.3">
      <c r="A1645" s="30">
        <v>1663</v>
      </c>
      <c r="B1645" s="29"/>
      <c r="C1645" s="5" t="s">
        <v>14</v>
      </c>
      <c r="D1645" s="7">
        <v>281</v>
      </c>
      <c r="E1645" s="31">
        <v>25800</v>
      </c>
      <c r="F1645" s="29"/>
      <c r="G1645" s="32">
        <v>45691</v>
      </c>
      <c r="H1645" s="29"/>
      <c r="I1645" s="5" t="s">
        <v>28</v>
      </c>
      <c r="J1645" s="5" t="s">
        <v>66</v>
      </c>
      <c r="K1645" s="5" t="s">
        <v>17</v>
      </c>
    </row>
    <row r="1646" spans="1:12" ht="18.75" customHeight="1" x14ac:dyDescent="0.3">
      <c r="A1646" s="30">
        <v>1664</v>
      </c>
      <c r="B1646" s="29"/>
      <c r="C1646" s="5" t="s">
        <v>14</v>
      </c>
      <c r="D1646" s="7">
        <v>279</v>
      </c>
      <c r="E1646" s="31">
        <v>25813</v>
      </c>
      <c r="F1646" s="29"/>
      <c r="G1646" s="32">
        <v>45692</v>
      </c>
      <c r="H1646" s="29"/>
      <c r="I1646" s="5" t="s">
        <v>28</v>
      </c>
      <c r="J1646" s="5" t="s">
        <v>66</v>
      </c>
      <c r="K1646" s="5" t="s">
        <v>17</v>
      </c>
    </row>
    <row r="1647" spans="1:12" ht="18.75" customHeight="1" x14ac:dyDescent="0.3">
      <c r="A1647" s="30">
        <v>1665</v>
      </c>
      <c r="B1647" s="29"/>
      <c r="C1647" s="5" t="s">
        <v>14</v>
      </c>
      <c r="D1647" s="7">
        <v>501</v>
      </c>
      <c r="E1647" s="31">
        <v>25834</v>
      </c>
      <c r="F1647" s="29"/>
      <c r="G1647" s="32">
        <v>45693</v>
      </c>
      <c r="H1647" s="29"/>
      <c r="I1647" s="5" t="s">
        <v>28</v>
      </c>
      <c r="J1647" s="5" t="s">
        <v>66</v>
      </c>
      <c r="K1647" s="5" t="s">
        <v>17</v>
      </c>
    </row>
    <row r="1648" spans="1:12" ht="18.75" customHeight="1" x14ac:dyDescent="0.3">
      <c r="A1648" s="30">
        <v>1666</v>
      </c>
      <c r="B1648" s="29"/>
      <c r="C1648" s="5" t="s">
        <v>14</v>
      </c>
      <c r="D1648" s="7">
        <v>282</v>
      </c>
      <c r="E1648" s="31">
        <v>25827</v>
      </c>
      <c r="F1648" s="29"/>
      <c r="G1648" s="32">
        <v>45694</v>
      </c>
      <c r="H1648" s="29"/>
      <c r="I1648" s="5" t="s">
        <v>28</v>
      </c>
      <c r="J1648" s="5" t="s">
        <v>66</v>
      </c>
      <c r="K1648" s="5" t="s">
        <v>17</v>
      </c>
    </row>
    <row r="1649" spans="1:12" ht="18.75" customHeight="1" x14ac:dyDescent="0.3">
      <c r="A1649" s="30">
        <v>1667</v>
      </c>
      <c r="B1649" s="29"/>
      <c r="C1649" s="5" t="s">
        <v>14</v>
      </c>
      <c r="D1649" s="7">
        <v>294</v>
      </c>
      <c r="E1649" s="31">
        <v>25842</v>
      </c>
      <c r="F1649" s="29"/>
      <c r="G1649" s="32">
        <v>45695</v>
      </c>
      <c r="H1649" s="29"/>
      <c r="I1649" s="5" t="s">
        <v>28</v>
      </c>
      <c r="J1649" s="5" t="s">
        <v>66</v>
      </c>
      <c r="K1649" s="5" t="s">
        <v>17</v>
      </c>
    </row>
    <row r="1650" spans="1:12" ht="18.75" customHeight="1" x14ac:dyDescent="0.3">
      <c r="A1650" s="30">
        <v>1668</v>
      </c>
      <c r="B1650" s="29"/>
      <c r="C1650" s="5" t="s">
        <v>14</v>
      </c>
      <c r="D1650" s="7">
        <v>280</v>
      </c>
      <c r="E1650" s="31">
        <v>25851</v>
      </c>
      <c r="F1650" s="29"/>
      <c r="G1650" s="32">
        <v>45696</v>
      </c>
      <c r="H1650" s="29"/>
      <c r="I1650" s="5" t="s">
        <v>28</v>
      </c>
      <c r="J1650" s="5" t="s">
        <v>66</v>
      </c>
      <c r="K1650" s="5" t="s">
        <v>17</v>
      </c>
    </row>
    <row r="1651" spans="1:12" ht="18.75" customHeight="1" x14ac:dyDescent="0.3">
      <c r="A1651" s="30">
        <v>1669</v>
      </c>
      <c r="B1651" s="29"/>
      <c r="C1651" s="5" t="s">
        <v>40</v>
      </c>
      <c r="D1651" s="7">
        <v>398</v>
      </c>
      <c r="E1651" s="31">
        <v>141950</v>
      </c>
      <c r="F1651" s="29"/>
      <c r="G1651" s="32">
        <v>45691</v>
      </c>
      <c r="H1651" s="29"/>
      <c r="I1651" s="5" t="s">
        <v>15</v>
      </c>
      <c r="J1651" s="5" t="s">
        <v>30</v>
      </c>
      <c r="K1651" s="5"/>
      <c r="L1651" t="s">
        <v>41</v>
      </c>
    </row>
    <row r="1652" spans="1:12" ht="18.75" customHeight="1" x14ac:dyDescent="0.3">
      <c r="A1652" s="30">
        <v>1670</v>
      </c>
      <c r="B1652" s="29"/>
      <c r="C1652" s="5" t="s">
        <v>40</v>
      </c>
      <c r="D1652" s="7">
        <v>280</v>
      </c>
      <c r="E1652" s="31">
        <v>138253</v>
      </c>
      <c r="F1652" s="29"/>
      <c r="G1652" s="32">
        <v>45691</v>
      </c>
      <c r="H1652" s="29"/>
      <c r="I1652" s="5" t="s">
        <v>15</v>
      </c>
      <c r="J1652" s="5" t="s">
        <v>30</v>
      </c>
      <c r="K1652" s="5"/>
      <c r="L1652" t="s">
        <v>41</v>
      </c>
    </row>
    <row r="1653" spans="1:12" ht="18.75" customHeight="1" x14ac:dyDescent="0.3">
      <c r="A1653" s="30">
        <v>1671</v>
      </c>
      <c r="B1653" s="29"/>
      <c r="C1653" s="5" t="s">
        <v>40</v>
      </c>
      <c r="D1653" s="7">
        <v>630</v>
      </c>
      <c r="E1653" s="31">
        <v>141353</v>
      </c>
      <c r="F1653" s="29"/>
      <c r="G1653" s="32">
        <v>45692</v>
      </c>
      <c r="H1653" s="29"/>
      <c r="I1653" s="5" t="s">
        <v>15</v>
      </c>
      <c r="J1653" s="5" t="s">
        <v>30</v>
      </c>
      <c r="K1653" s="5"/>
      <c r="L1653" t="s">
        <v>44</v>
      </c>
    </row>
    <row r="1654" spans="1:12" ht="18.75" customHeight="1" x14ac:dyDescent="0.3">
      <c r="A1654" s="30">
        <v>1672</v>
      </c>
      <c r="B1654" s="29"/>
      <c r="C1654" s="5" t="s">
        <v>40</v>
      </c>
      <c r="D1654" s="7">
        <v>519</v>
      </c>
      <c r="E1654" s="31">
        <v>137519</v>
      </c>
      <c r="F1654" s="29"/>
      <c r="G1654" s="32">
        <v>45692</v>
      </c>
      <c r="H1654" s="29"/>
      <c r="I1654" s="5" t="s">
        <v>15</v>
      </c>
      <c r="J1654" s="5" t="s">
        <v>30</v>
      </c>
      <c r="K1654" s="5"/>
      <c r="L1654" t="s">
        <v>43</v>
      </c>
    </row>
    <row r="1655" spans="1:12" ht="18.75" customHeight="1" x14ac:dyDescent="0.3">
      <c r="A1655" s="30">
        <v>1673</v>
      </c>
      <c r="B1655" s="29"/>
      <c r="C1655" s="5" t="s">
        <v>40</v>
      </c>
      <c r="D1655" s="7">
        <v>650</v>
      </c>
      <c r="E1655" s="31">
        <v>138915</v>
      </c>
      <c r="F1655" s="29"/>
      <c r="G1655" s="32">
        <v>45693</v>
      </c>
      <c r="H1655" s="29"/>
      <c r="I1655" s="5" t="s">
        <v>15</v>
      </c>
      <c r="J1655" s="5" t="s">
        <v>30</v>
      </c>
      <c r="K1655" s="5"/>
      <c r="L1655" t="s">
        <v>42</v>
      </c>
    </row>
    <row r="1656" spans="1:12" ht="18.75" customHeight="1" x14ac:dyDescent="0.3">
      <c r="A1656" s="30">
        <v>1674</v>
      </c>
      <c r="B1656" s="29"/>
      <c r="C1656" s="5" t="s">
        <v>40</v>
      </c>
      <c r="D1656" s="7">
        <v>673</v>
      </c>
      <c r="E1656" s="31">
        <v>138917</v>
      </c>
      <c r="F1656" s="29"/>
      <c r="G1656" s="32">
        <v>45694</v>
      </c>
      <c r="H1656" s="29"/>
      <c r="I1656" s="5" t="s">
        <v>15</v>
      </c>
      <c r="J1656" s="5" t="s">
        <v>30</v>
      </c>
      <c r="K1656" s="5"/>
      <c r="L1656" t="s">
        <v>42</v>
      </c>
    </row>
    <row r="1657" spans="1:12" ht="18.75" customHeight="1" x14ac:dyDescent="0.3">
      <c r="A1657" s="30">
        <v>1675</v>
      </c>
      <c r="B1657" s="29"/>
      <c r="C1657" s="5" t="s">
        <v>40</v>
      </c>
      <c r="D1657" s="7">
        <v>350</v>
      </c>
      <c r="E1657" s="31">
        <v>141362</v>
      </c>
      <c r="F1657" s="29"/>
      <c r="G1657" s="32">
        <v>45694</v>
      </c>
      <c r="H1657" s="29"/>
      <c r="I1657" s="5" t="s">
        <v>15</v>
      </c>
      <c r="J1657" s="5" t="s">
        <v>30</v>
      </c>
      <c r="K1657" s="5"/>
      <c r="L1657" t="s">
        <v>44</v>
      </c>
    </row>
    <row r="1658" spans="1:12" ht="18.75" customHeight="1" x14ac:dyDescent="0.3">
      <c r="A1658" s="30">
        <v>1676</v>
      </c>
      <c r="B1658" s="29"/>
      <c r="C1658" s="5" t="s">
        <v>40</v>
      </c>
      <c r="D1658" s="7">
        <v>400</v>
      </c>
      <c r="E1658" s="31">
        <v>138279</v>
      </c>
      <c r="F1658" s="29"/>
      <c r="G1658" s="32">
        <v>45695</v>
      </c>
      <c r="H1658" s="29"/>
      <c r="I1658" s="5" t="s">
        <v>15</v>
      </c>
      <c r="J1658" s="5" t="s">
        <v>30</v>
      </c>
      <c r="K1658" s="5"/>
      <c r="L1658" t="s">
        <v>41</v>
      </c>
    </row>
    <row r="1659" spans="1:12" ht="18.75" customHeight="1" x14ac:dyDescent="0.3">
      <c r="A1659" s="30">
        <v>1677</v>
      </c>
      <c r="B1659" s="29"/>
      <c r="C1659" s="5" t="s">
        <v>40</v>
      </c>
      <c r="D1659" s="7">
        <v>400</v>
      </c>
      <c r="E1659" s="31">
        <v>141943</v>
      </c>
      <c r="F1659" s="29"/>
      <c r="G1659" s="32">
        <v>45690</v>
      </c>
      <c r="H1659" s="29"/>
      <c r="I1659" s="5" t="s">
        <v>28</v>
      </c>
      <c r="J1659" s="5" t="s">
        <v>66</v>
      </c>
      <c r="K1659" s="5"/>
      <c r="L1659" t="s">
        <v>41</v>
      </c>
    </row>
    <row r="1660" spans="1:12" ht="18.75" customHeight="1" x14ac:dyDescent="0.3">
      <c r="A1660" s="30">
        <v>1678</v>
      </c>
      <c r="B1660" s="29"/>
      <c r="C1660" s="5" t="s">
        <v>40</v>
      </c>
      <c r="D1660" s="7">
        <v>620</v>
      </c>
      <c r="E1660" s="31">
        <v>137517</v>
      </c>
      <c r="F1660" s="29"/>
      <c r="G1660" s="32">
        <v>45691</v>
      </c>
      <c r="H1660" s="29"/>
      <c r="I1660" s="5" t="s">
        <v>28</v>
      </c>
      <c r="J1660" s="5" t="s">
        <v>66</v>
      </c>
      <c r="K1660" s="5"/>
      <c r="L1660" t="s">
        <v>43</v>
      </c>
    </row>
    <row r="1661" spans="1:12" ht="18.75" customHeight="1" x14ac:dyDescent="0.3">
      <c r="A1661" s="30">
        <v>1679</v>
      </c>
      <c r="B1661" s="29"/>
      <c r="C1661" s="5" t="s">
        <v>40</v>
      </c>
      <c r="D1661" s="7">
        <v>587</v>
      </c>
      <c r="E1661" s="31">
        <v>141355</v>
      </c>
      <c r="F1661" s="29"/>
      <c r="G1661" s="32">
        <v>45693</v>
      </c>
      <c r="H1661" s="29"/>
      <c r="I1661" s="5" t="s">
        <v>28</v>
      </c>
      <c r="J1661" s="5" t="s">
        <v>66</v>
      </c>
      <c r="K1661" s="5"/>
      <c r="L1661" t="s">
        <v>44</v>
      </c>
    </row>
    <row r="1662" spans="1:12" ht="18.75" customHeight="1" x14ac:dyDescent="0.3">
      <c r="A1662" s="30">
        <v>1680</v>
      </c>
      <c r="B1662" s="29"/>
      <c r="C1662" s="5" t="s">
        <v>40</v>
      </c>
      <c r="D1662" s="7">
        <v>525</v>
      </c>
      <c r="E1662" s="31">
        <v>138921</v>
      </c>
      <c r="F1662" s="29"/>
      <c r="G1662" s="32">
        <v>45695</v>
      </c>
      <c r="H1662" s="29"/>
      <c r="I1662" s="5" t="s">
        <v>28</v>
      </c>
      <c r="J1662" s="5" t="s">
        <v>66</v>
      </c>
      <c r="K1662" s="5"/>
      <c r="L1662" t="s">
        <v>42</v>
      </c>
    </row>
    <row r="1663" spans="1:12" ht="18.75" customHeight="1" x14ac:dyDescent="0.3">
      <c r="A1663" s="30">
        <v>1681</v>
      </c>
      <c r="B1663" s="29"/>
      <c r="C1663" s="5" t="s">
        <v>14</v>
      </c>
      <c r="D1663" s="7">
        <v>303</v>
      </c>
      <c r="E1663" s="31">
        <v>25868</v>
      </c>
      <c r="F1663" s="29"/>
      <c r="G1663" s="32">
        <v>45698</v>
      </c>
      <c r="H1663" s="29"/>
      <c r="I1663" s="5" t="s">
        <v>54</v>
      </c>
      <c r="J1663" s="5" t="s">
        <v>16</v>
      </c>
      <c r="K1663" s="5" t="s">
        <v>62</v>
      </c>
    </row>
    <row r="1664" spans="1:12" ht="18.75" customHeight="1" x14ac:dyDescent="0.3">
      <c r="A1664" s="30">
        <v>1682</v>
      </c>
      <c r="B1664" s="29"/>
      <c r="C1664" s="5" t="s">
        <v>14</v>
      </c>
      <c r="D1664" s="7">
        <v>329</v>
      </c>
      <c r="E1664" s="31">
        <v>25881</v>
      </c>
      <c r="F1664" s="29"/>
      <c r="G1664" s="32">
        <v>45699</v>
      </c>
      <c r="H1664" s="29"/>
      <c r="I1664" s="5" t="s">
        <v>54</v>
      </c>
      <c r="J1664" s="5" t="s">
        <v>16</v>
      </c>
      <c r="K1664" s="5"/>
    </row>
    <row r="1665" spans="1:11" ht="18.75" customHeight="1" x14ac:dyDescent="0.3">
      <c r="A1665" s="30">
        <v>1683</v>
      </c>
      <c r="B1665" s="29"/>
      <c r="C1665" s="5" t="s">
        <v>14</v>
      </c>
      <c r="D1665" s="7">
        <v>237</v>
      </c>
      <c r="E1665" s="31">
        <v>25892</v>
      </c>
      <c r="F1665" s="29"/>
      <c r="G1665" s="32">
        <v>45700</v>
      </c>
      <c r="H1665" s="29"/>
      <c r="I1665" s="5" t="s">
        <v>54</v>
      </c>
      <c r="J1665" s="5" t="s">
        <v>16</v>
      </c>
      <c r="K1665" s="5"/>
    </row>
    <row r="1666" spans="1:11" ht="18.75" customHeight="1" x14ac:dyDescent="0.3">
      <c r="A1666" s="30">
        <v>1684</v>
      </c>
      <c r="B1666" s="29"/>
      <c r="C1666" s="5" t="s">
        <v>14</v>
      </c>
      <c r="D1666" s="7">
        <v>179</v>
      </c>
      <c r="E1666" s="31">
        <v>25903</v>
      </c>
      <c r="F1666" s="29"/>
      <c r="G1666" s="32">
        <v>45701</v>
      </c>
      <c r="H1666" s="29"/>
      <c r="I1666" s="5" t="s">
        <v>54</v>
      </c>
      <c r="J1666" s="5" t="s">
        <v>16</v>
      </c>
      <c r="K1666" s="5"/>
    </row>
    <row r="1667" spans="1:11" ht="18.75" customHeight="1" x14ac:dyDescent="0.3">
      <c r="A1667" s="30">
        <v>1685</v>
      </c>
      <c r="B1667" s="29"/>
      <c r="C1667" s="5" t="s">
        <v>14</v>
      </c>
      <c r="D1667" s="7">
        <v>254</v>
      </c>
      <c r="E1667" s="31">
        <v>25916</v>
      </c>
      <c r="F1667" s="29"/>
      <c r="G1667" s="32">
        <v>45702</v>
      </c>
      <c r="H1667" s="29"/>
      <c r="I1667" s="5" t="s">
        <v>54</v>
      </c>
      <c r="J1667" s="5" t="s">
        <v>16</v>
      </c>
      <c r="K1667" s="5"/>
    </row>
    <row r="1668" spans="1:11" ht="18.75" customHeight="1" x14ac:dyDescent="0.3">
      <c r="A1668" s="30">
        <v>1686</v>
      </c>
      <c r="B1668" s="29"/>
      <c r="C1668" s="5" t="s">
        <v>14</v>
      </c>
      <c r="D1668" s="7">
        <v>271</v>
      </c>
      <c r="E1668" s="31">
        <v>25927</v>
      </c>
      <c r="F1668" s="29"/>
      <c r="G1668" s="32">
        <v>45703</v>
      </c>
      <c r="H1668" s="29"/>
      <c r="I1668" s="5" t="s">
        <v>54</v>
      </c>
      <c r="J1668" s="5" t="s">
        <v>16</v>
      </c>
      <c r="K1668" s="5"/>
    </row>
    <row r="1669" spans="1:11" ht="18.75" customHeight="1" x14ac:dyDescent="0.3">
      <c r="A1669" s="30">
        <v>1687</v>
      </c>
      <c r="B1669" s="29"/>
      <c r="C1669" s="5" t="s">
        <v>14</v>
      </c>
      <c r="D1669" s="7">
        <f>165+8</f>
        <v>173</v>
      </c>
      <c r="E1669" s="31">
        <v>117584</v>
      </c>
      <c r="F1669" s="29"/>
      <c r="G1669" s="32">
        <v>45703</v>
      </c>
      <c r="H1669" s="29"/>
      <c r="I1669" s="5" t="s">
        <v>54</v>
      </c>
      <c r="J1669" s="5" t="s">
        <v>16</v>
      </c>
      <c r="K1669" s="5"/>
    </row>
    <row r="1670" spans="1:11" ht="18.75" customHeight="1" x14ac:dyDescent="0.3">
      <c r="A1670" s="30">
        <v>1688</v>
      </c>
      <c r="B1670" s="29"/>
      <c r="C1670" s="5" t="s">
        <v>14</v>
      </c>
      <c r="D1670" s="7">
        <v>288</v>
      </c>
      <c r="E1670" s="31">
        <v>25882</v>
      </c>
      <c r="F1670" s="29"/>
      <c r="G1670" s="32">
        <v>45699</v>
      </c>
      <c r="H1670" s="29"/>
      <c r="I1670" s="5" t="s">
        <v>95</v>
      </c>
      <c r="J1670" s="5" t="s">
        <v>93</v>
      </c>
      <c r="K1670" s="5" t="s">
        <v>96</v>
      </c>
    </row>
    <row r="1671" spans="1:11" ht="18.75" customHeight="1" x14ac:dyDescent="0.3">
      <c r="A1671" s="30">
        <v>1689</v>
      </c>
      <c r="B1671" s="29"/>
      <c r="C1671" s="5" t="s">
        <v>14</v>
      </c>
      <c r="D1671" s="7">
        <v>351</v>
      </c>
      <c r="E1671" s="31">
        <v>25890</v>
      </c>
      <c r="F1671" s="29"/>
      <c r="G1671" s="32">
        <v>45700</v>
      </c>
      <c r="H1671" s="29"/>
      <c r="I1671" s="5" t="s">
        <v>95</v>
      </c>
      <c r="J1671" s="5" t="s">
        <v>93</v>
      </c>
      <c r="K1671" s="5" t="s">
        <v>96</v>
      </c>
    </row>
    <row r="1672" spans="1:11" ht="18.75" customHeight="1" x14ac:dyDescent="0.3">
      <c r="A1672" s="30">
        <v>1690</v>
      </c>
      <c r="B1672" s="29"/>
      <c r="C1672" s="5" t="s">
        <v>14</v>
      </c>
      <c r="D1672" s="7">
        <v>145</v>
      </c>
      <c r="E1672" s="31">
        <v>25907</v>
      </c>
      <c r="F1672" s="29"/>
      <c r="G1672" s="32">
        <v>45701</v>
      </c>
      <c r="H1672" s="29"/>
      <c r="I1672" s="5" t="s">
        <v>95</v>
      </c>
      <c r="J1672" s="5" t="s">
        <v>93</v>
      </c>
      <c r="K1672" s="5" t="s">
        <v>96</v>
      </c>
    </row>
    <row r="1673" spans="1:11" ht="18.75" customHeight="1" x14ac:dyDescent="0.3">
      <c r="A1673" s="30">
        <v>1691</v>
      </c>
      <c r="B1673" s="29"/>
      <c r="C1673" s="5" t="s">
        <v>14</v>
      </c>
      <c r="D1673" s="7">
        <v>80</v>
      </c>
      <c r="E1673" s="31">
        <v>117539</v>
      </c>
      <c r="F1673" s="29"/>
      <c r="G1673" s="32">
        <v>45701</v>
      </c>
      <c r="H1673" s="29"/>
      <c r="I1673" s="5" t="s">
        <v>95</v>
      </c>
      <c r="J1673" s="5" t="s">
        <v>93</v>
      </c>
      <c r="K1673" s="5" t="s">
        <v>96</v>
      </c>
    </row>
    <row r="1674" spans="1:11" ht="18.75" customHeight="1" x14ac:dyDescent="0.3">
      <c r="A1674" s="30">
        <v>1692</v>
      </c>
      <c r="B1674" s="29"/>
      <c r="C1674" s="5" t="s">
        <v>14</v>
      </c>
      <c r="D1674" s="7">
        <v>216</v>
      </c>
      <c r="E1674" s="31">
        <v>25918</v>
      </c>
      <c r="F1674" s="29"/>
      <c r="G1674" s="32">
        <v>45702</v>
      </c>
      <c r="H1674" s="29"/>
      <c r="I1674" s="5" t="s">
        <v>95</v>
      </c>
      <c r="J1674" s="5" t="s">
        <v>93</v>
      </c>
      <c r="K1674" s="5" t="s">
        <v>96</v>
      </c>
    </row>
    <row r="1675" spans="1:11" ht="18.75" customHeight="1" x14ac:dyDescent="0.3">
      <c r="A1675" s="30">
        <v>1693</v>
      </c>
      <c r="B1675" s="29"/>
      <c r="C1675" s="5" t="s">
        <v>14</v>
      </c>
      <c r="D1675" s="7">
        <f>129+55</f>
        <v>184</v>
      </c>
      <c r="E1675" s="31">
        <v>117570</v>
      </c>
      <c r="F1675" s="29"/>
      <c r="G1675" s="32">
        <v>45702</v>
      </c>
      <c r="H1675" s="29"/>
      <c r="I1675" s="5" t="s">
        <v>95</v>
      </c>
      <c r="J1675" s="5" t="s">
        <v>93</v>
      </c>
      <c r="K1675" s="5" t="s">
        <v>96</v>
      </c>
    </row>
    <row r="1676" spans="1:11" ht="18.75" customHeight="1" x14ac:dyDescent="0.3">
      <c r="A1676" s="30">
        <v>1694</v>
      </c>
      <c r="B1676" s="29"/>
      <c r="C1676" s="5" t="s">
        <v>14</v>
      </c>
      <c r="D1676" s="7">
        <v>239</v>
      </c>
      <c r="E1676" s="31">
        <v>25929</v>
      </c>
      <c r="F1676" s="29"/>
      <c r="G1676" s="32">
        <v>45703</v>
      </c>
      <c r="H1676" s="29"/>
      <c r="I1676" s="5" t="s">
        <v>95</v>
      </c>
      <c r="J1676" s="5" t="s">
        <v>93</v>
      </c>
      <c r="K1676" s="5" t="s">
        <v>96</v>
      </c>
    </row>
    <row r="1677" spans="1:11" ht="18.75" customHeight="1" x14ac:dyDescent="0.3">
      <c r="A1677" s="30">
        <v>1695</v>
      </c>
      <c r="B1677" s="29"/>
      <c r="C1677" s="5" t="s">
        <v>14</v>
      </c>
      <c r="D1677" s="7">
        <f>378+66</f>
        <v>444</v>
      </c>
      <c r="E1677" s="31">
        <v>25875</v>
      </c>
      <c r="F1677" s="29"/>
      <c r="G1677" s="32">
        <v>45698</v>
      </c>
      <c r="H1677" s="29"/>
      <c r="I1677" s="5" t="s">
        <v>28</v>
      </c>
      <c r="J1677" s="5" t="s">
        <v>66</v>
      </c>
      <c r="K1677" s="5" t="s">
        <v>30</v>
      </c>
    </row>
    <row r="1678" spans="1:11" ht="18.75" customHeight="1" x14ac:dyDescent="0.3">
      <c r="A1678" s="30">
        <v>1696</v>
      </c>
      <c r="B1678" s="29"/>
      <c r="C1678" s="5" t="s">
        <v>14</v>
      </c>
      <c r="D1678" s="7">
        <v>330</v>
      </c>
      <c r="E1678" s="31">
        <v>25880</v>
      </c>
      <c r="F1678" s="29"/>
      <c r="G1678" s="32">
        <v>45699</v>
      </c>
      <c r="H1678" s="29"/>
      <c r="I1678" s="5" t="s">
        <v>28</v>
      </c>
      <c r="J1678" s="5" t="s">
        <v>66</v>
      </c>
      <c r="K1678" s="5" t="s">
        <v>30</v>
      </c>
    </row>
    <row r="1679" spans="1:11" ht="18.75" customHeight="1" x14ac:dyDescent="0.3">
      <c r="A1679" s="30">
        <v>1697</v>
      </c>
      <c r="B1679" s="29"/>
      <c r="C1679" s="5" t="s">
        <v>14</v>
      </c>
      <c r="D1679" s="7">
        <v>302</v>
      </c>
      <c r="E1679" s="31">
        <v>25893</v>
      </c>
      <c r="F1679" s="29"/>
      <c r="G1679" s="32">
        <v>45700</v>
      </c>
      <c r="H1679" s="29"/>
      <c r="I1679" s="5" t="s">
        <v>28</v>
      </c>
      <c r="J1679" s="5" t="s">
        <v>66</v>
      </c>
      <c r="K1679" s="5" t="s">
        <v>30</v>
      </c>
    </row>
    <row r="1680" spans="1:11" ht="18.75" customHeight="1" x14ac:dyDescent="0.3">
      <c r="A1680" s="30">
        <v>1698</v>
      </c>
      <c r="B1680" s="29"/>
      <c r="C1680" s="5" t="s">
        <v>14</v>
      </c>
      <c r="D1680" s="7">
        <v>316</v>
      </c>
      <c r="E1680" s="31">
        <v>25910</v>
      </c>
      <c r="F1680" s="29"/>
      <c r="G1680" s="32">
        <v>45701</v>
      </c>
      <c r="H1680" s="29"/>
      <c r="I1680" s="5" t="s">
        <v>28</v>
      </c>
      <c r="J1680" s="5" t="s">
        <v>66</v>
      </c>
      <c r="K1680" s="5" t="s">
        <v>30</v>
      </c>
    </row>
    <row r="1681" spans="1:12" ht="18.75" customHeight="1" x14ac:dyDescent="0.3">
      <c r="A1681" s="30">
        <v>1699</v>
      </c>
      <c r="B1681" s="29"/>
      <c r="C1681" s="5" t="s">
        <v>14</v>
      </c>
      <c r="D1681" s="7">
        <v>314</v>
      </c>
      <c r="E1681" s="31">
        <v>25917</v>
      </c>
      <c r="F1681" s="29"/>
      <c r="G1681" s="32">
        <v>45702</v>
      </c>
      <c r="H1681" s="29"/>
      <c r="I1681" s="5" t="s">
        <v>28</v>
      </c>
      <c r="J1681" s="5" t="s">
        <v>66</v>
      </c>
      <c r="K1681" s="5" t="s">
        <v>30</v>
      </c>
    </row>
    <row r="1682" spans="1:12" ht="18.75" customHeight="1" x14ac:dyDescent="0.3">
      <c r="A1682" s="30">
        <v>1700</v>
      </c>
      <c r="B1682" s="29"/>
      <c r="C1682" s="5" t="s">
        <v>14</v>
      </c>
      <c r="D1682" s="7">
        <v>267</v>
      </c>
      <c r="E1682" s="31">
        <v>25926</v>
      </c>
      <c r="F1682" s="29"/>
      <c r="G1682" s="32">
        <v>45703</v>
      </c>
      <c r="H1682" s="29"/>
      <c r="I1682" s="5" t="s">
        <v>28</v>
      </c>
      <c r="J1682" s="5" t="s">
        <v>66</v>
      </c>
      <c r="K1682" s="5" t="s">
        <v>30</v>
      </c>
    </row>
    <row r="1683" spans="1:12" ht="18.75" customHeight="1" x14ac:dyDescent="0.3">
      <c r="A1683" s="30">
        <v>1701</v>
      </c>
      <c r="B1683" s="29"/>
      <c r="C1683" s="5" t="s">
        <v>40</v>
      </c>
      <c r="D1683" s="7">
        <v>468</v>
      </c>
      <c r="E1683" s="31">
        <v>138285</v>
      </c>
      <c r="F1683" s="29"/>
      <c r="G1683" s="32">
        <v>45696</v>
      </c>
      <c r="H1683" s="29"/>
      <c r="I1683" s="5" t="s">
        <v>15</v>
      </c>
      <c r="J1683" s="5" t="s">
        <v>30</v>
      </c>
      <c r="K1683" s="5"/>
      <c r="L1683" t="s">
        <v>41</v>
      </c>
    </row>
    <row r="1684" spans="1:12" ht="18.75" customHeight="1" x14ac:dyDescent="0.3">
      <c r="A1684" s="30">
        <v>1702</v>
      </c>
      <c r="B1684" s="29"/>
      <c r="C1684" s="5" t="s">
        <v>40</v>
      </c>
      <c r="D1684" s="7">
        <v>490</v>
      </c>
      <c r="E1684" s="31">
        <v>138927</v>
      </c>
      <c r="F1684" s="29"/>
      <c r="G1684" s="32">
        <v>45698</v>
      </c>
      <c r="H1684" s="29"/>
      <c r="I1684" s="5" t="s">
        <v>15</v>
      </c>
      <c r="J1684" s="5" t="s">
        <v>30</v>
      </c>
      <c r="K1684" s="5"/>
      <c r="L1684" t="s">
        <v>42</v>
      </c>
    </row>
    <row r="1685" spans="1:12" ht="18.75" customHeight="1" x14ac:dyDescent="0.3">
      <c r="A1685" s="30">
        <v>1703</v>
      </c>
      <c r="B1685" s="29"/>
      <c r="C1685" s="5" t="s">
        <v>40</v>
      </c>
      <c r="D1685" s="7">
        <v>545</v>
      </c>
      <c r="E1685" s="31">
        <v>141374</v>
      </c>
      <c r="F1685" s="29"/>
      <c r="G1685" s="32">
        <v>45699</v>
      </c>
      <c r="H1685" s="29"/>
      <c r="I1685" s="5" t="s">
        <v>15</v>
      </c>
      <c r="J1685" s="5" t="s">
        <v>30</v>
      </c>
      <c r="K1685" s="5"/>
      <c r="L1685" t="s">
        <v>44</v>
      </c>
    </row>
    <row r="1686" spans="1:12" ht="18.75" customHeight="1" x14ac:dyDescent="0.3">
      <c r="A1686" s="30">
        <v>1704</v>
      </c>
      <c r="B1686" s="29"/>
      <c r="C1686" s="5" t="s">
        <v>40</v>
      </c>
      <c r="D1686" s="7">
        <v>650</v>
      </c>
      <c r="E1686" s="31">
        <v>138935</v>
      </c>
      <c r="F1686" s="29"/>
      <c r="G1686" s="32">
        <v>45700</v>
      </c>
      <c r="H1686" s="29"/>
      <c r="I1686" s="5" t="s">
        <v>15</v>
      </c>
      <c r="J1686" s="5" t="s">
        <v>30</v>
      </c>
      <c r="K1686" s="5"/>
      <c r="L1686" t="s">
        <v>42</v>
      </c>
    </row>
    <row r="1687" spans="1:12" ht="18.75" customHeight="1" x14ac:dyDescent="0.3">
      <c r="A1687" s="30">
        <v>1705</v>
      </c>
      <c r="B1687" s="29"/>
      <c r="C1687" s="5" t="s">
        <v>40</v>
      </c>
      <c r="D1687" s="7">
        <v>550</v>
      </c>
      <c r="E1687" s="31">
        <v>137521</v>
      </c>
      <c r="F1687" s="29"/>
      <c r="G1687" s="32">
        <v>45701</v>
      </c>
      <c r="H1687" s="29"/>
      <c r="I1687" s="5" t="s">
        <v>15</v>
      </c>
      <c r="J1687" s="5" t="s">
        <v>30</v>
      </c>
      <c r="K1687" s="5"/>
      <c r="L1687" t="s">
        <v>43</v>
      </c>
    </row>
    <row r="1688" spans="1:12" ht="18.75" customHeight="1" x14ac:dyDescent="0.3">
      <c r="A1688" s="30">
        <v>1706</v>
      </c>
      <c r="B1688" s="29"/>
      <c r="C1688" s="5" t="s">
        <v>40</v>
      </c>
      <c r="D1688" s="7">
        <v>590</v>
      </c>
      <c r="E1688" s="31">
        <v>141386</v>
      </c>
      <c r="F1688" s="29"/>
      <c r="G1688" s="32">
        <v>45701</v>
      </c>
      <c r="H1688" s="29"/>
      <c r="I1688" s="5" t="s">
        <v>15</v>
      </c>
      <c r="J1688" s="5" t="s">
        <v>30</v>
      </c>
      <c r="K1688" s="5"/>
      <c r="L1688" t="s">
        <v>90</v>
      </c>
    </row>
    <row r="1689" spans="1:12" ht="18.75" customHeight="1" x14ac:dyDescent="0.3">
      <c r="A1689" s="30">
        <v>1707</v>
      </c>
      <c r="B1689" s="29"/>
      <c r="C1689" s="5" t="s">
        <v>40</v>
      </c>
      <c r="D1689" s="7">
        <v>560</v>
      </c>
      <c r="E1689" s="31">
        <v>141390</v>
      </c>
      <c r="F1689" s="29"/>
      <c r="G1689" s="32">
        <v>45702</v>
      </c>
      <c r="H1689" s="29"/>
      <c r="I1689" s="5" t="s">
        <v>15</v>
      </c>
      <c r="J1689" s="5" t="s">
        <v>30</v>
      </c>
      <c r="K1689" s="5"/>
      <c r="L1689" t="s">
        <v>90</v>
      </c>
    </row>
    <row r="1690" spans="1:12" ht="18.75" customHeight="1" x14ac:dyDescent="0.3">
      <c r="A1690" s="30">
        <v>1708</v>
      </c>
      <c r="B1690" s="29"/>
      <c r="C1690" s="5" t="s">
        <v>40</v>
      </c>
      <c r="D1690" s="7">
        <v>640</v>
      </c>
      <c r="E1690" s="31">
        <v>141397</v>
      </c>
      <c r="F1690" s="29"/>
      <c r="G1690" s="32">
        <v>45703</v>
      </c>
      <c r="H1690" s="29"/>
      <c r="I1690" s="5" t="s">
        <v>15</v>
      </c>
      <c r="J1690" s="5" t="s">
        <v>30</v>
      </c>
      <c r="K1690" s="5"/>
      <c r="L1690" t="s">
        <v>90</v>
      </c>
    </row>
    <row r="1691" spans="1:12" ht="18.75" customHeight="1" x14ac:dyDescent="0.3">
      <c r="A1691" s="30">
        <v>1709</v>
      </c>
      <c r="B1691" s="29"/>
      <c r="C1691" s="5" t="s">
        <v>40</v>
      </c>
      <c r="D1691" s="7">
        <v>390</v>
      </c>
      <c r="E1691" s="31">
        <v>138293</v>
      </c>
      <c r="F1691" s="29"/>
      <c r="G1691" s="32">
        <v>45697</v>
      </c>
      <c r="H1691" s="29"/>
      <c r="I1691" s="5" t="s">
        <v>28</v>
      </c>
      <c r="J1691" s="5" t="s">
        <v>66</v>
      </c>
      <c r="K1691" s="5"/>
      <c r="L1691" t="s">
        <v>41</v>
      </c>
    </row>
    <row r="1692" spans="1:12" ht="18.75" customHeight="1" x14ac:dyDescent="0.3">
      <c r="A1692" s="30">
        <v>1710</v>
      </c>
      <c r="B1692" s="29"/>
      <c r="C1692" s="5" t="s">
        <v>40</v>
      </c>
      <c r="D1692" s="7">
        <v>490</v>
      </c>
      <c r="E1692" s="31">
        <v>138929</v>
      </c>
      <c r="F1692" s="29"/>
      <c r="G1692" s="32">
        <v>45698</v>
      </c>
      <c r="H1692" s="29"/>
      <c r="I1692" s="5" t="s">
        <v>28</v>
      </c>
      <c r="J1692" s="5" t="s">
        <v>66</v>
      </c>
      <c r="K1692" s="5"/>
      <c r="L1692" t="s">
        <v>42</v>
      </c>
    </row>
    <row r="1693" spans="1:12" ht="18.75" customHeight="1" x14ac:dyDescent="0.3">
      <c r="A1693" s="30">
        <v>1711</v>
      </c>
      <c r="B1693" s="29"/>
      <c r="C1693" s="5" t="s">
        <v>40</v>
      </c>
      <c r="D1693" s="7">
        <v>385</v>
      </c>
      <c r="E1693" s="31">
        <v>138932</v>
      </c>
      <c r="F1693" s="29"/>
      <c r="G1693" s="32">
        <v>45699</v>
      </c>
      <c r="H1693" s="29"/>
      <c r="I1693" s="5" t="s">
        <v>28</v>
      </c>
      <c r="J1693" s="5" t="s">
        <v>66</v>
      </c>
      <c r="K1693" s="5"/>
      <c r="L1693" t="s">
        <v>42</v>
      </c>
    </row>
    <row r="1694" spans="1:12" ht="18.75" customHeight="1" x14ac:dyDescent="0.3">
      <c r="A1694" s="30">
        <v>1712</v>
      </c>
      <c r="B1694" s="29"/>
      <c r="C1694" s="5" t="s">
        <v>40</v>
      </c>
      <c r="D1694" s="7">
        <v>320</v>
      </c>
      <c r="E1694" s="31">
        <v>138310</v>
      </c>
      <c r="F1694" s="29"/>
      <c r="G1694" s="32">
        <v>45700</v>
      </c>
      <c r="H1694" s="29"/>
      <c r="I1694" s="5" t="s">
        <v>28</v>
      </c>
      <c r="J1694" s="5" t="s">
        <v>66</v>
      </c>
      <c r="K1694" s="5"/>
      <c r="L1694" t="s">
        <v>41</v>
      </c>
    </row>
    <row r="1695" spans="1:12" ht="18.75" customHeight="1" x14ac:dyDescent="0.3">
      <c r="A1695" s="30">
        <v>1713</v>
      </c>
      <c r="B1695" s="29"/>
      <c r="C1695" s="5" t="s">
        <v>40</v>
      </c>
      <c r="D1695" s="7">
        <v>486</v>
      </c>
      <c r="E1695" s="31">
        <v>137526</v>
      </c>
      <c r="F1695" s="29"/>
      <c r="G1695" s="32">
        <v>45702</v>
      </c>
      <c r="H1695" s="29"/>
      <c r="I1695" s="5" t="s">
        <v>28</v>
      </c>
      <c r="J1695" s="5" t="s">
        <v>66</v>
      </c>
      <c r="K1695" s="5"/>
      <c r="L1695" t="s">
        <v>43</v>
      </c>
    </row>
    <row r="1696" spans="1:12" ht="18.75" customHeight="1" x14ac:dyDescent="0.3">
      <c r="A1696" s="30">
        <v>1714</v>
      </c>
      <c r="B1696" s="29"/>
      <c r="C1696" s="5" t="s">
        <v>40</v>
      </c>
      <c r="D1696" s="7">
        <v>500</v>
      </c>
      <c r="E1696" s="31">
        <v>141395</v>
      </c>
      <c r="F1696" s="29"/>
      <c r="G1696" s="32">
        <v>45703</v>
      </c>
      <c r="H1696" s="29"/>
      <c r="I1696" s="5" t="s">
        <v>28</v>
      </c>
      <c r="J1696" s="5" t="s">
        <v>66</v>
      </c>
      <c r="K1696" s="5"/>
      <c r="L1696" t="s">
        <v>90</v>
      </c>
    </row>
    <row r="1697" spans="1:15" ht="18.75" customHeight="1" x14ac:dyDescent="0.3">
      <c r="A1697" s="30">
        <v>1715</v>
      </c>
      <c r="B1697" s="29"/>
      <c r="C1697" s="5" t="s">
        <v>14</v>
      </c>
      <c r="D1697" s="7">
        <v>209</v>
      </c>
      <c r="E1697" s="31">
        <v>25944</v>
      </c>
      <c r="F1697" s="29"/>
      <c r="G1697" s="32">
        <v>45705</v>
      </c>
      <c r="H1697" s="29"/>
      <c r="I1697" s="5" t="s">
        <v>54</v>
      </c>
      <c r="J1697" s="5" t="s">
        <v>16</v>
      </c>
      <c r="K1697" s="5" t="s">
        <v>97</v>
      </c>
    </row>
    <row r="1698" spans="1:15" ht="18.75" customHeight="1" x14ac:dyDescent="0.3">
      <c r="A1698" s="30">
        <v>1716</v>
      </c>
      <c r="B1698" s="29"/>
      <c r="C1698" s="5" t="s">
        <v>14</v>
      </c>
      <c r="D1698" s="7">
        <v>219</v>
      </c>
      <c r="E1698" s="31">
        <v>25961</v>
      </c>
      <c r="F1698" s="29"/>
      <c r="G1698" s="32">
        <v>45706</v>
      </c>
      <c r="H1698" s="29"/>
      <c r="I1698" s="5" t="s">
        <v>54</v>
      </c>
      <c r="J1698" s="5" t="s">
        <v>16</v>
      </c>
      <c r="K1698" s="5" t="s">
        <v>97</v>
      </c>
    </row>
    <row r="1699" spans="1:15" ht="18.75" customHeight="1" x14ac:dyDescent="0.3">
      <c r="A1699" s="30">
        <v>1717</v>
      </c>
      <c r="B1699" s="29"/>
      <c r="C1699" s="5" t="s">
        <v>14</v>
      </c>
      <c r="D1699" s="7">
        <v>234</v>
      </c>
      <c r="E1699" s="31">
        <v>25970</v>
      </c>
      <c r="F1699" s="29"/>
      <c r="G1699" s="32">
        <v>45707</v>
      </c>
      <c r="H1699" s="29"/>
      <c r="I1699" s="5" t="s">
        <v>54</v>
      </c>
      <c r="J1699" s="5" t="s">
        <v>16</v>
      </c>
      <c r="K1699" s="5" t="s">
        <v>97</v>
      </c>
      <c r="O1699" t="s">
        <v>98</v>
      </c>
    </row>
    <row r="1700" spans="1:15" ht="18.75" customHeight="1" x14ac:dyDescent="0.3">
      <c r="A1700" s="30">
        <v>1718</v>
      </c>
      <c r="B1700" s="29"/>
      <c r="C1700" s="5" t="s">
        <v>14</v>
      </c>
      <c r="D1700" s="7">
        <v>277</v>
      </c>
      <c r="E1700" s="31">
        <v>25981</v>
      </c>
      <c r="F1700" s="29"/>
      <c r="G1700" s="32">
        <v>45708</v>
      </c>
      <c r="H1700" s="29"/>
      <c r="I1700" s="5" t="s">
        <v>54</v>
      </c>
      <c r="J1700" s="5" t="s">
        <v>16</v>
      </c>
      <c r="K1700" s="5" t="s">
        <v>97</v>
      </c>
    </row>
    <row r="1701" spans="1:15" ht="18.75" customHeight="1" x14ac:dyDescent="0.3">
      <c r="A1701" s="30">
        <v>1719</v>
      </c>
      <c r="B1701" s="29"/>
      <c r="C1701" s="5" t="s">
        <v>14</v>
      </c>
      <c r="D1701" s="7">
        <v>270</v>
      </c>
      <c r="E1701" s="31">
        <v>25994</v>
      </c>
      <c r="F1701" s="29"/>
      <c r="G1701" s="32">
        <v>45709</v>
      </c>
      <c r="H1701" s="29"/>
      <c r="I1701" s="5" t="s">
        <v>54</v>
      </c>
      <c r="J1701" s="5" t="s">
        <v>16</v>
      </c>
      <c r="K1701" s="5" t="s">
        <v>97</v>
      </c>
    </row>
    <row r="1702" spans="1:15" ht="18.75" customHeight="1" x14ac:dyDescent="0.3">
      <c r="A1702" s="30">
        <v>1720</v>
      </c>
      <c r="B1702" s="29"/>
      <c r="C1702" s="5" t="s">
        <v>14</v>
      </c>
      <c r="D1702" s="7">
        <v>189</v>
      </c>
      <c r="E1702" s="31">
        <v>26003</v>
      </c>
      <c r="F1702" s="29"/>
      <c r="G1702" s="32">
        <v>45710</v>
      </c>
      <c r="H1702" s="29"/>
      <c r="I1702" s="5" t="s">
        <v>54</v>
      </c>
      <c r="J1702" s="5" t="s">
        <v>16</v>
      </c>
      <c r="K1702" s="5" t="s">
        <v>97</v>
      </c>
    </row>
    <row r="1703" spans="1:15" ht="18.75" customHeight="1" x14ac:dyDescent="0.3">
      <c r="A1703" s="30">
        <v>1721</v>
      </c>
      <c r="B1703" s="29"/>
      <c r="C1703" s="5" t="s">
        <v>14</v>
      </c>
      <c r="D1703" s="7">
        <f>72+17</f>
        <v>89</v>
      </c>
      <c r="E1703" s="31">
        <v>117648</v>
      </c>
      <c r="F1703" s="29"/>
      <c r="G1703" s="32">
        <v>45708</v>
      </c>
      <c r="H1703" s="29"/>
      <c r="I1703" s="5" t="s">
        <v>54</v>
      </c>
      <c r="J1703" s="5" t="s">
        <v>16</v>
      </c>
      <c r="K1703" s="5" t="s">
        <v>97</v>
      </c>
    </row>
    <row r="1704" spans="1:15" ht="18.75" customHeight="1" x14ac:dyDescent="0.3">
      <c r="A1704" s="30">
        <v>1722</v>
      </c>
      <c r="B1704" s="29"/>
      <c r="C1704" s="5" t="s">
        <v>14</v>
      </c>
      <c r="D1704" s="7">
        <v>326</v>
      </c>
      <c r="E1704" s="31">
        <v>25942</v>
      </c>
      <c r="F1704" s="29"/>
      <c r="G1704" s="32">
        <v>45705</v>
      </c>
      <c r="H1704" s="29"/>
      <c r="I1704" s="5" t="s">
        <v>95</v>
      </c>
      <c r="J1704" s="5" t="s">
        <v>96</v>
      </c>
      <c r="K1704" s="5" t="s">
        <v>99</v>
      </c>
    </row>
    <row r="1705" spans="1:15" ht="18.75" customHeight="1" x14ac:dyDescent="0.3">
      <c r="A1705" s="30">
        <v>1723</v>
      </c>
      <c r="B1705" s="29"/>
      <c r="C1705" s="5" t="s">
        <v>14</v>
      </c>
      <c r="D1705" s="7">
        <v>160</v>
      </c>
      <c r="E1705" s="31">
        <v>25956</v>
      </c>
      <c r="F1705" s="29"/>
      <c r="G1705" s="32">
        <v>45706</v>
      </c>
      <c r="H1705" s="29"/>
      <c r="I1705" s="5" t="s">
        <v>95</v>
      </c>
      <c r="J1705" s="5" t="s">
        <v>96</v>
      </c>
      <c r="K1705" s="5" t="s">
        <v>99</v>
      </c>
    </row>
    <row r="1706" spans="1:15" ht="18.75" customHeight="1" x14ac:dyDescent="0.3">
      <c r="A1706" s="30">
        <v>1724</v>
      </c>
      <c r="B1706" s="29"/>
      <c r="C1706" s="5" t="s">
        <v>14</v>
      </c>
      <c r="D1706" s="7">
        <v>204</v>
      </c>
      <c r="E1706" s="31">
        <v>25980</v>
      </c>
      <c r="F1706" s="29"/>
      <c r="G1706" s="32">
        <v>45708</v>
      </c>
      <c r="H1706" s="29"/>
      <c r="I1706" t="s">
        <v>98</v>
      </c>
      <c r="J1706" s="5" t="s">
        <v>96</v>
      </c>
      <c r="K1706" s="5" t="s">
        <v>99</v>
      </c>
    </row>
    <row r="1707" spans="1:15" ht="18.75" customHeight="1" x14ac:dyDescent="0.3">
      <c r="A1707" s="30">
        <v>1725</v>
      </c>
      <c r="B1707" s="29"/>
      <c r="C1707" s="5" t="s">
        <v>14</v>
      </c>
      <c r="D1707" s="7">
        <v>199</v>
      </c>
      <c r="E1707" s="31">
        <v>25991</v>
      </c>
      <c r="F1707" s="29"/>
      <c r="G1707" s="32">
        <v>45709</v>
      </c>
      <c r="H1707" s="29"/>
      <c r="I1707" s="5" t="s">
        <v>98</v>
      </c>
      <c r="J1707" s="5" t="s">
        <v>96</v>
      </c>
      <c r="K1707" s="5" t="s">
        <v>99</v>
      </c>
    </row>
    <row r="1708" spans="1:15" ht="18.75" customHeight="1" x14ac:dyDescent="0.3">
      <c r="A1708" s="30">
        <v>1726</v>
      </c>
      <c r="B1708" s="29"/>
      <c r="C1708" s="5" t="s">
        <v>14</v>
      </c>
      <c r="D1708" s="7">
        <v>131</v>
      </c>
      <c r="E1708" s="31">
        <v>25998</v>
      </c>
      <c r="F1708" s="29"/>
      <c r="G1708" s="32">
        <v>45710</v>
      </c>
      <c r="H1708" s="29"/>
      <c r="I1708" s="5" t="s">
        <v>98</v>
      </c>
      <c r="J1708" s="5" t="s">
        <v>96</v>
      </c>
      <c r="K1708" s="5" t="s">
        <v>99</v>
      </c>
    </row>
    <row r="1709" spans="1:15" ht="18.75" customHeight="1" x14ac:dyDescent="0.3">
      <c r="A1709" s="30">
        <v>1727</v>
      </c>
      <c r="B1709" s="29"/>
      <c r="C1709" s="5" t="s">
        <v>14</v>
      </c>
      <c r="D1709" s="7">
        <v>191</v>
      </c>
      <c r="E1709" s="31">
        <v>117696</v>
      </c>
      <c r="F1709" s="29"/>
      <c r="G1709" s="32">
        <v>45710</v>
      </c>
      <c r="H1709" s="29"/>
      <c r="I1709" s="5" t="s">
        <v>98</v>
      </c>
      <c r="J1709" s="5" t="s">
        <v>96</v>
      </c>
      <c r="K1709" s="5" t="s">
        <v>99</v>
      </c>
      <c r="O1709" t="s">
        <v>21</v>
      </c>
    </row>
    <row r="1710" spans="1:15" ht="18.75" customHeight="1" x14ac:dyDescent="0.3">
      <c r="A1710" s="30">
        <v>1728</v>
      </c>
      <c r="B1710" s="29"/>
      <c r="C1710" s="5" t="s">
        <v>14</v>
      </c>
      <c r="D1710" s="7">
        <v>232</v>
      </c>
      <c r="E1710" s="31">
        <v>25935</v>
      </c>
      <c r="F1710" s="29"/>
      <c r="G1710" s="32">
        <v>45704</v>
      </c>
      <c r="H1710" s="29"/>
      <c r="I1710" s="5" t="s">
        <v>28</v>
      </c>
      <c r="J1710" s="5" t="s">
        <v>66</v>
      </c>
      <c r="K1710" s="5" t="s">
        <v>30</v>
      </c>
    </row>
    <row r="1711" spans="1:15" ht="18.75" customHeight="1" x14ac:dyDescent="0.3">
      <c r="A1711" s="30">
        <v>1729</v>
      </c>
      <c r="B1711" s="29"/>
      <c r="C1711" s="5" t="s">
        <v>14</v>
      </c>
      <c r="D1711" s="7">
        <v>348</v>
      </c>
      <c r="E1711" s="31">
        <v>25941</v>
      </c>
      <c r="F1711" s="29"/>
      <c r="G1711" s="32">
        <v>45705</v>
      </c>
      <c r="H1711" s="29"/>
      <c r="I1711" s="5" t="s">
        <v>28</v>
      </c>
      <c r="J1711" s="5" t="s">
        <v>66</v>
      </c>
      <c r="K1711" s="5" t="s">
        <v>30</v>
      </c>
    </row>
    <row r="1712" spans="1:15" ht="18.75" customHeight="1" x14ac:dyDescent="0.3">
      <c r="A1712" s="30">
        <v>1730</v>
      </c>
      <c r="B1712" s="29"/>
      <c r="C1712" s="5" t="s">
        <v>14</v>
      </c>
      <c r="D1712" s="7">
        <v>246</v>
      </c>
      <c r="E1712" s="31">
        <v>25957</v>
      </c>
      <c r="F1712" s="29"/>
      <c r="G1712" s="32">
        <v>45706</v>
      </c>
      <c r="H1712" s="29"/>
      <c r="I1712" s="5" t="s">
        <v>28</v>
      </c>
      <c r="J1712" s="5" t="s">
        <v>66</v>
      </c>
      <c r="K1712" s="5" t="s">
        <v>30</v>
      </c>
    </row>
    <row r="1713" spans="1:12" ht="18.75" customHeight="1" x14ac:dyDescent="0.3">
      <c r="A1713" s="30">
        <v>1731</v>
      </c>
      <c r="B1713" s="29"/>
      <c r="C1713" s="5" t="s">
        <v>14</v>
      </c>
      <c r="D1713" s="7">
        <v>296</v>
      </c>
      <c r="E1713" s="31">
        <v>25979</v>
      </c>
      <c r="F1713" s="29"/>
      <c r="G1713" s="32">
        <v>45708</v>
      </c>
      <c r="H1713" s="29"/>
      <c r="I1713" s="5" t="s">
        <v>28</v>
      </c>
      <c r="J1713" s="5" t="s">
        <v>66</v>
      </c>
      <c r="K1713" s="5" t="s">
        <v>30</v>
      </c>
    </row>
    <row r="1714" spans="1:12" ht="18.75" customHeight="1" x14ac:dyDescent="0.3">
      <c r="A1714" s="30">
        <v>1732</v>
      </c>
      <c r="B1714" s="29"/>
      <c r="C1714" s="5" t="s">
        <v>14</v>
      </c>
      <c r="D1714" s="7">
        <v>222</v>
      </c>
      <c r="E1714" s="31">
        <v>25988</v>
      </c>
      <c r="F1714" s="29"/>
      <c r="G1714" s="32">
        <v>45709</v>
      </c>
      <c r="H1714" s="29"/>
      <c r="I1714" s="5" t="s">
        <v>28</v>
      </c>
      <c r="J1714" s="5" t="s">
        <v>66</v>
      </c>
      <c r="K1714" s="5" t="s">
        <v>30</v>
      </c>
    </row>
    <row r="1715" spans="1:12" ht="18.75" customHeight="1" x14ac:dyDescent="0.3">
      <c r="A1715" s="30">
        <v>1733</v>
      </c>
      <c r="B1715" s="29"/>
      <c r="C1715" s="5" t="s">
        <v>14</v>
      </c>
      <c r="D1715" s="7">
        <v>422</v>
      </c>
      <c r="E1715" s="31">
        <v>25999</v>
      </c>
      <c r="F1715" s="29"/>
      <c r="G1715" s="32">
        <v>45710</v>
      </c>
      <c r="H1715" s="29"/>
      <c r="I1715" s="5" t="s">
        <v>28</v>
      </c>
      <c r="J1715" s="5" t="s">
        <v>66</v>
      </c>
      <c r="K1715" s="5" t="s">
        <v>30</v>
      </c>
    </row>
    <row r="1716" spans="1:12" ht="18.75" customHeight="1" x14ac:dyDescent="0.3">
      <c r="A1716" s="30">
        <v>1734</v>
      </c>
      <c r="B1716" s="29"/>
      <c r="C1716" s="5" t="s">
        <v>40</v>
      </c>
      <c r="D1716" s="7">
        <v>500</v>
      </c>
      <c r="E1716" s="31">
        <v>137527</v>
      </c>
      <c r="F1716" s="29"/>
      <c r="G1716" s="32">
        <v>45705</v>
      </c>
      <c r="H1716" s="29"/>
      <c r="I1716" s="5" t="s">
        <v>15</v>
      </c>
      <c r="J1716" s="5" t="s">
        <v>30</v>
      </c>
      <c r="K1716" s="5"/>
      <c r="L1716" t="s">
        <v>43</v>
      </c>
    </row>
    <row r="1717" spans="1:12" ht="18.75" customHeight="1" x14ac:dyDescent="0.3">
      <c r="A1717" s="30">
        <v>1735</v>
      </c>
      <c r="B1717" s="29"/>
      <c r="C1717" s="5" t="s">
        <v>40</v>
      </c>
      <c r="D1717" s="7">
        <v>487</v>
      </c>
      <c r="E1717" s="31">
        <v>137531</v>
      </c>
      <c r="F1717" s="29"/>
      <c r="G1717" s="32">
        <v>45706</v>
      </c>
      <c r="H1717" s="29"/>
      <c r="I1717" s="5" t="s">
        <v>15</v>
      </c>
      <c r="J1717" s="5" t="s">
        <v>30</v>
      </c>
      <c r="K1717" s="5"/>
      <c r="L1717" t="s">
        <v>43</v>
      </c>
    </row>
    <row r="1718" spans="1:12" ht="18.75" customHeight="1" x14ac:dyDescent="0.3">
      <c r="A1718" s="30">
        <v>1736</v>
      </c>
      <c r="B1718" s="29"/>
      <c r="C1718" s="5" t="s">
        <v>40</v>
      </c>
      <c r="D1718" s="7">
        <v>390</v>
      </c>
      <c r="E1718" s="31">
        <v>138343</v>
      </c>
      <c r="F1718" s="29"/>
      <c r="G1718" s="46">
        <v>45706</v>
      </c>
      <c r="H1718" s="29"/>
      <c r="I1718" s="5" t="s">
        <v>15</v>
      </c>
      <c r="J1718" s="5" t="s">
        <v>30</v>
      </c>
      <c r="K1718" s="5"/>
      <c r="L1718" t="s">
        <v>41</v>
      </c>
    </row>
    <row r="1719" spans="1:12" ht="18.75" customHeight="1" x14ac:dyDescent="0.3">
      <c r="A1719" s="30">
        <v>1737</v>
      </c>
      <c r="B1719" s="29"/>
      <c r="C1719" s="5" t="s">
        <v>40</v>
      </c>
      <c r="D1719" s="7">
        <v>548</v>
      </c>
      <c r="E1719" s="31">
        <v>137533</v>
      </c>
      <c r="F1719" s="29"/>
      <c r="G1719" s="32">
        <v>45707</v>
      </c>
      <c r="H1719" s="29"/>
      <c r="I1719" s="5" t="s">
        <v>15</v>
      </c>
      <c r="J1719" s="5" t="s">
        <v>30</v>
      </c>
      <c r="K1719" s="5"/>
      <c r="L1719" t="s">
        <v>43</v>
      </c>
    </row>
    <row r="1720" spans="1:12" ht="18.75" customHeight="1" x14ac:dyDescent="0.3">
      <c r="A1720" s="30">
        <v>1738</v>
      </c>
      <c r="B1720" s="29"/>
      <c r="C1720" s="5" t="s">
        <v>40</v>
      </c>
      <c r="D1720" s="7">
        <v>494</v>
      </c>
      <c r="E1720" s="31">
        <v>137535</v>
      </c>
      <c r="F1720" s="29"/>
      <c r="G1720" s="32">
        <v>45708</v>
      </c>
      <c r="H1720" s="29"/>
      <c r="I1720" s="5" t="s">
        <v>15</v>
      </c>
      <c r="J1720" s="5" t="s">
        <v>30</v>
      </c>
      <c r="K1720" s="5"/>
      <c r="L1720" t="s">
        <v>87</v>
      </c>
    </row>
    <row r="1721" spans="1:12" ht="18.75" customHeight="1" x14ac:dyDescent="0.3">
      <c r="A1721" s="30">
        <v>1739</v>
      </c>
      <c r="B1721" s="29"/>
      <c r="C1721" s="5" t="s">
        <v>40</v>
      </c>
      <c r="D1721" s="7">
        <v>650</v>
      </c>
      <c r="E1721" s="31">
        <v>138949</v>
      </c>
      <c r="F1721" s="29"/>
      <c r="G1721" s="32">
        <v>45708</v>
      </c>
      <c r="H1721" s="29"/>
      <c r="I1721" s="5" t="s">
        <v>15</v>
      </c>
      <c r="J1721" s="5" t="s">
        <v>30</v>
      </c>
      <c r="K1721" s="5"/>
      <c r="L1721" t="s">
        <v>42</v>
      </c>
    </row>
    <row r="1722" spans="1:12" ht="18.75" customHeight="1" x14ac:dyDescent="0.3">
      <c r="A1722" s="30">
        <v>1740</v>
      </c>
      <c r="B1722" s="29"/>
      <c r="C1722" s="5" t="s">
        <v>40</v>
      </c>
      <c r="D1722" s="7">
        <v>700</v>
      </c>
      <c r="E1722" s="31">
        <v>141421</v>
      </c>
      <c r="F1722" s="29"/>
      <c r="G1722" s="32">
        <v>45708</v>
      </c>
      <c r="H1722" s="29"/>
      <c r="I1722" s="5" t="s">
        <v>15</v>
      </c>
      <c r="J1722" s="5" t="s">
        <v>30</v>
      </c>
      <c r="K1722" s="5"/>
      <c r="L1722" t="s">
        <v>44</v>
      </c>
    </row>
    <row r="1723" spans="1:12" ht="18.75" customHeight="1" x14ac:dyDescent="0.3">
      <c r="A1723" s="30">
        <v>1741</v>
      </c>
      <c r="B1723" s="29"/>
      <c r="C1723" s="5" t="s">
        <v>40</v>
      </c>
      <c r="D1723" s="7">
        <v>680</v>
      </c>
      <c r="E1723" s="31">
        <v>141422</v>
      </c>
      <c r="F1723" s="29"/>
      <c r="G1723" s="32">
        <v>45709</v>
      </c>
      <c r="H1723" s="29"/>
      <c r="I1723" s="5" t="s">
        <v>15</v>
      </c>
      <c r="J1723" s="5" t="s">
        <v>30</v>
      </c>
      <c r="K1723" s="5"/>
      <c r="L1723" t="s">
        <v>90</v>
      </c>
    </row>
    <row r="1724" spans="1:12" ht="18.75" customHeight="1" x14ac:dyDescent="0.3">
      <c r="A1724" s="30">
        <v>1742</v>
      </c>
      <c r="B1724" s="29"/>
      <c r="C1724" s="5" t="s">
        <v>40</v>
      </c>
      <c r="D1724" s="7">
        <v>675</v>
      </c>
      <c r="E1724" s="31">
        <v>141432</v>
      </c>
      <c r="F1724" s="29"/>
      <c r="G1724" s="32">
        <v>45710</v>
      </c>
      <c r="H1724" s="29"/>
      <c r="I1724" s="5" t="s">
        <v>15</v>
      </c>
      <c r="J1724" s="5" t="s">
        <v>30</v>
      </c>
      <c r="K1724" s="5"/>
      <c r="L1724" t="s">
        <v>44</v>
      </c>
    </row>
    <row r="1725" spans="1:12" ht="18.75" customHeight="1" x14ac:dyDescent="0.3">
      <c r="A1725" s="30">
        <v>1743</v>
      </c>
      <c r="B1725" s="29"/>
      <c r="C1725" s="5" t="s">
        <v>40</v>
      </c>
      <c r="D1725" s="7">
        <v>391</v>
      </c>
      <c r="E1725" s="31">
        <v>138335</v>
      </c>
      <c r="F1725" s="29"/>
      <c r="G1725" s="32">
        <v>45704</v>
      </c>
      <c r="H1725" s="29"/>
      <c r="I1725" s="5" t="s">
        <v>28</v>
      </c>
      <c r="J1725" s="5" t="s">
        <v>66</v>
      </c>
      <c r="K1725" s="5"/>
      <c r="L1725" t="s">
        <v>41</v>
      </c>
    </row>
    <row r="1726" spans="1:12" ht="18.75" customHeight="1" x14ac:dyDescent="0.3">
      <c r="A1726" s="30">
        <v>1744</v>
      </c>
      <c r="B1726" s="29"/>
      <c r="C1726" s="5" t="s">
        <v>40</v>
      </c>
      <c r="D1726" s="7">
        <v>500</v>
      </c>
      <c r="E1726" s="31">
        <v>137529</v>
      </c>
      <c r="F1726" s="29"/>
      <c r="G1726" s="32">
        <v>45705</v>
      </c>
      <c r="H1726" s="29"/>
      <c r="I1726" s="5" t="s">
        <v>28</v>
      </c>
      <c r="J1726" s="5" t="s">
        <v>66</v>
      </c>
      <c r="K1726" s="5"/>
      <c r="L1726" t="s">
        <v>43</v>
      </c>
    </row>
    <row r="1727" spans="1:12" ht="18.75" customHeight="1" x14ac:dyDescent="0.3">
      <c r="A1727" s="30">
        <v>1745</v>
      </c>
      <c r="B1727" s="29"/>
      <c r="C1727" s="5" t="s">
        <v>40</v>
      </c>
      <c r="D1727" s="7">
        <v>640</v>
      </c>
      <c r="E1727" s="31">
        <v>141407</v>
      </c>
      <c r="F1727" s="29"/>
      <c r="G1727" s="32">
        <v>45706</v>
      </c>
      <c r="H1727" s="29"/>
      <c r="I1727" s="5" t="s">
        <v>28</v>
      </c>
      <c r="J1727" s="5" t="s">
        <v>66</v>
      </c>
      <c r="K1727" s="5"/>
      <c r="L1727" t="s">
        <v>90</v>
      </c>
    </row>
    <row r="1728" spans="1:12" ht="18.75" customHeight="1" x14ac:dyDescent="0.3">
      <c r="A1728" s="30">
        <v>1746</v>
      </c>
      <c r="B1728" s="29"/>
      <c r="C1728" s="5" t="s">
        <v>40</v>
      </c>
      <c r="D1728" s="7">
        <v>680</v>
      </c>
      <c r="E1728" s="31">
        <v>141414</v>
      </c>
      <c r="F1728" s="29"/>
      <c r="G1728" s="32">
        <v>45707</v>
      </c>
      <c r="H1728" s="29"/>
      <c r="I1728" s="5" t="s">
        <v>28</v>
      </c>
      <c r="J1728" s="5" t="s">
        <v>66</v>
      </c>
      <c r="K1728" s="5"/>
      <c r="L1728" t="s">
        <v>90</v>
      </c>
    </row>
    <row r="1729" spans="1:12" ht="18.75" customHeight="1" x14ac:dyDescent="0.3">
      <c r="A1729" s="30">
        <v>1747</v>
      </c>
      <c r="B1729" s="29"/>
      <c r="C1729" s="5" t="s">
        <v>40</v>
      </c>
      <c r="D1729" s="7">
        <v>722</v>
      </c>
      <c r="E1729" s="31">
        <v>141426</v>
      </c>
      <c r="F1729" s="29"/>
      <c r="G1729" s="32">
        <v>45709</v>
      </c>
      <c r="H1729" s="29"/>
      <c r="I1729" s="5" t="s">
        <v>28</v>
      </c>
      <c r="J1729" s="5" t="s">
        <v>66</v>
      </c>
      <c r="K1729" s="5"/>
      <c r="L1729" t="s">
        <v>44</v>
      </c>
    </row>
    <row r="1730" spans="1:12" ht="18.75" customHeight="1" x14ac:dyDescent="0.3">
      <c r="A1730" s="30">
        <v>1748</v>
      </c>
      <c r="B1730" s="29"/>
      <c r="C1730" s="5" t="s">
        <v>40</v>
      </c>
      <c r="D1730" s="7">
        <v>648</v>
      </c>
      <c r="E1730" s="31">
        <v>141433</v>
      </c>
      <c r="F1730" s="29"/>
      <c r="G1730" s="32">
        <v>45710</v>
      </c>
      <c r="H1730" s="29"/>
      <c r="I1730" s="5" t="s">
        <v>28</v>
      </c>
      <c r="J1730" s="5" t="s">
        <v>66</v>
      </c>
      <c r="K1730" s="5"/>
      <c r="L1730" t="s">
        <v>90</v>
      </c>
    </row>
    <row r="1731" spans="1:12" ht="18.75" customHeight="1" x14ac:dyDescent="0.3">
      <c r="A1731" s="30">
        <v>1749</v>
      </c>
      <c r="B1731" s="29"/>
      <c r="C1731" s="5" t="s">
        <v>40</v>
      </c>
      <c r="D1731" s="7">
        <v>648</v>
      </c>
      <c r="E1731" s="31">
        <v>141971</v>
      </c>
      <c r="F1731" s="29"/>
      <c r="G1731" s="32">
        <v>45711</v>
      </c>
      <c r="H1731" s="29"/>
      <c r="I1731" s="5" t="s">
        <v>15</v>
      </c>
      <c r="J1731" s="5" t="s">
        <v>30</v>
      </c>
      <c r="K1731" s="5"/>
      <c r="L1731" t="s">
        <v>41</v>
      </c>
    </row>
    <row r="1732" spans="1:12" ht="18.75" customHeight="1" x14ac:dyDescent="0.3">
      <c r="A1732" s="30">
        <v>1750</v>
      </c>
      <c r="B1732" s="29"/>
      <c r="C1732" s="5" t="s">
        <v>40</v>
      </c>
      <c r="D1732" s="7">
        <v>385</v>
      </c>
      <c r="E1732" s="31">
        <v>141982</v>
      </c>
      <c r="F1732" s="29"/>
      <c r="G1732" s="32">
        <v>45712</v>
      </c>
      <c r="H1732" s="29"/>
      <c r="I1732" s="5" t="s">
        <v>15</v>
      </c>
      <c r="J1732" s="5" t="s">
        <v>30</v>
      </c>
      <c r="K1732" s="5"/>
      <c r="L1732" t="s">
        <v>41</v>
      </c>
    </row>
    <row r="1733" spans="1:12" ht="18.75" customHeight="1" x14ac:dyDescent="0.3">
      <c r="A1733" s="30">
        <v>1751</v>
      </c>
      <c r="B1733" s="29"/>
      <c r="C1733" s="5" t="s">
        <v>40</v>
      </c>
      <c r="D1733" s="7">
        <v>675</v>
      </c>
      <c r="E1733" s="31">
        <v>141441</v>
      </c>
      <c r="F1733" s="29"/>
      <c r="G1733" s="32">
        <v>45712</v>
      </c>
      <c r="H1733" s="29"/>
      <c r="I1733" s="5" t="s">
        <v>15</v>
      </c>
      <c r="J1733" s="5" t="s">
        <v>30</v>
      </c>
      <c r="K1733" s="5"/>
      <c r="L1733" t="s">
        <v>90</v>
      </c>
    </row>
    <row r="1734" spans="1:12" ht="18.75" customHeight="1" x14ac:dyDescent="0.3">
      <c r="A1734" s="30">
        <v>1752</v>
      </c>
      <c r="B1734" s="29"/>
      <c r="C1734" s="5" t="s">
        <v>40</v>
      </c>
      <c r="D1734" s="7">
        <v>504</v>
      </c>
      <c r="E1734" s="31">
        <v>141978</v>
      </c>
      <c r="F1734" s="29"/>
      <c r="G1734" s="32">
        <v>45712</v>
      </c>
      <c r="H1734" s="29"/>
      <c r="I1734" s="5" t="s">
        <v>15</v>
      </c>
      <c r="J1734" s="5" t="s">
        <v>30</v>
      </c>
      <c r="K1734" s="5"/>
      <c r="L1734" t="s">
        <v>41</v>
      </c>
    </row>
    <row r="1735" spans="1:12" ht="18.75" customHeight="1" x14ac:dyDescent="0.3">
      <c r="A1735" s="30">
        <v>1753</v>
      </c>
      <c r="B1735" s="29"/>
      <c r="C1735" s="5" t="s">
        <v>40</v>
      </c>
      <c r="D1735" s="7">
        <v>621</v>
      </c>
      <c r="E1735" s="31">
        <v>141445</v>
      </c>
      <c r="F1735" s="29"/>
      <c r="G1735" s="32">
        <v>45713</v>
      </c>
      <c r="H1735" s="29"/>
      <c r="I1735" s="5" t="s">
        <v>15</v>
      </c>
      <c r="J1735" s="5" t="s">
        <v>30</v>
      </c>
      <c r="K1735" s="5"/>
      <c r="L1735" t="s">
        <v>90</v>
      </c>
    </row>
    <row r="1736" spans="1:12" ht="18.75" customHeight="1" x14ac:dyDescent="0.3">
      <c r="A1736" s="30">
        <v>1754</v>
      </c>
      <c r="B1736" s="29"/>
      <c r="C1736" s="5" t="s">
        <v>40</v>
      </c>
      <c r="D1736" s="7">
        <v>435</v>
      </c>
      <c r="E1736" s="31">
        <v>138961</v>
      </c>
      <c r="F1736" s="29"/>
      <c r="G1736" s="32">
        <v>45713</v>
      </c>
      <c r="H1736" s="29"/>
      <c r="I1736" s="5" t="s">
        <v>15</v>
      </c>
      <c r="J1736" s="5" t="s">
        <v>30</v>
      </c>
      <c r="K1736" s="5"/>
      <c r="L1736" t="s">
        <v>42</v>
      </c>
    </row>
    <row r="1737" spans="1:12" ht="18.75" customHeight="1" x14ac:dyDescent="0.3">
      <c r="A1737" s="30">
        <v>1755</v>
      </c>
      <c r="B1737" s="29"/>
      <c r="C1737" s="5" t="s">
        <v>40</v>
      </c>
      <c r="D1737" s="7">
        <v>675</v>
      </c>
      <c r="E1737" s="31">
        <v>141449</v>
      </c>
      <c r="F1737" s="29"/>
      <c r="G1737" s="32">
        <v>45714</v>
      </c>
      <c r="H1737" s="29"/>
      <c r="I1737" s="5" t="s">
        <v>15</v>
      </c>
      <c r="J1737" s="5" t="s">
        <v>30</v>
      </c>
      <c r="K1737" s="5"/>
      <c r="L1737" t="s">
        <v>90</v>
      </c>
    </row>
    <row r="1738" spans="1:12" ht="18.75" customHeight="1" x14ac:dyDescent="0.3">
      <c r="A1738" s="30">
        <v>1756</v>
      </c>
      <c r="B1738" s="29"/>
      <c r="C1738" s="5" t="s">
        <v>40</v>
      </c>
      <c r="D1738" s="7">
        <v>665</v>
      </c>
      <c r="E1738" s="31">
        <v>141446</v>
      </c>
      <c r="F1738" s="29"/>
      <c r="G1738" s="32">
        <v>45714</v>
      </c>
      <c r="H1738" s="29"/>
      <c r="I1738" s="5" t="s">
        <v>15</v>
      </c>
      <c r="J1738" s="5" t="s">
        <v>30</v>
      </c>
      <c r="K1738" s="5"/>
      <c r="L1738" t="s">
        <v>44</v>
      </c>
    </row>
    <row r="1739" spans="1:12" ht="18.75" customHeight="1" x14ac:dyDescent="0.3">
      <c r="A1739" s="30">
        <v>1757</v>
      </c>
      <c r="B1739" s="29"/>
      <c r="C1739" s="5" t="s">
        <v>40</v>
      </c>
      <c r="D1739" s="7">
        <v>520</v>
      </c>
      <c r="E1739" s="31">
        <v>138968</v>
      </c>
      <c r="F1739" s="29"/>
      <c r="G1739" s="32">
        <v>45715</v>
      </c>
      <c r="H1739" s="29"/>
      <c r="I1739" s="5" t="s">
        <v>15</v>
      </c>
      <c r="J1739" s="5" t="s">
        <v>30</v>
      </c>
      <c r="K1739" s="5"/>
      <c r="L1739" t="s">
        <v>42</v>
      </c>
    </row>
    <row r="1740" spans="1:12" ht="18.75" customHeight="1" x14ac:dyDescent="0.3">
      <c r="A1740" s="30">
        <v>1758</v>
      </c>
      <c r="B1740" s="29"/>
      <c r="C1740" s="5" t="s">
        <v>40</v>
      </c>
      <c r="D1740" s="7">
        <v>345</v>
      </c>
      <c r="E1740" s="31">
        <v>142010</v>
      </c>
      <c r="F1740" s="29"/>
      <c r="G1740" s="32">
        <v>45716</v>
      </c>
      <c r="H1740" s="29"/>
      <c r="I1740" s="5" t="s">
        <v>15</v>
      </c>
      <c r="J1740" s="5" t="s">
        <v>30</v>
      </c>
      <c r="K1740" s="5"/>
      <c r="L1740" t="s">
        <v>41</v>
      </c>
    </row>
    <row r="1741" spans="1:12" ht="18.75" customHeight="1" x14ac:dyDescent="0.3">
      <c r="A1741" s="30">
        <v>1759</v>
      </c>
      <c r="B1741" s="29"/>
      <c r="C1741" s="5" t="s">
        <v>40</v>
      </c>
      <c r="D1741" s="7">
        <v>594</v>
      </c>
      <c r="E1741" s="31">
        <v>141454</v>
      </c>
      <c r="F1741" s="29"/>
      <c r="G1741" s="32">
        <v>45717</v>
      </c>
      <c r="H1741" s="29"/>
      <c r="I1741" s="5" t="s">
        <v>15</v>
      </c>
      <c r="J1741" s="5" t="s">
        <v>30</v>
      </c>
      <c r="K1741" s="5"/>
      <c r="L1741" t="s">
        <v>44</v>
      </c>
    </row>
    <row r="1742" spans="1:12" ht="18.75" customHeight="1" x14ac:dyDescent="0.3">
      <c r="A1742" s="30">
        <v>1760</v>
      </c>
      <c r="B1742" s="29"/>
      <c r="C1742" s="5" t="s">
        <v>40</v>
      </c>
      <c r="D1742" s="7">
        <v>390</v>
      </c>
      <c r="E1742" s="31">
        <v>142020</v>
      </c>
      <c r="F1742" s="29"/>
      <c r="G1742" s="32">
        <v>45717</v>
      </c>
      <c r="H1742" s="29"/>
      <c r="I1742" s="5" t="s">
        <v>15</v>
      </c>
      <c r="J1742" s="5" t="s">
        <v>30</v>
      </c>
      <c r="K1742" s="5"/>
      <c r="L1742" t="s">
        <v>41</v>
      </c>
    </row>
    <row r="1743" spans="1:12" ht="18.75" customHeight="1" x14ac:dyDescent="0.3">
      <c r="A1743" s="30">
        <v>1761</v>
      </c>
      <c r="B1743" s="29"/>
      <c r="C1743" s="5" t="s">
        <v>40</v>
      </c>
      <c r="D1743" s="7">
        <v>390</v>
      </c>
      <c r="E1743" s="31">
        <v>141972</v>
      </c>
      <c r="F1743" s="29"/>
      <c r="G1743" s="32">
        <v>45711</v>
      </c>
      <c r="H1743" s="29"/>
      <c r="I1743" s="5" t="s">
        <v>28</v>
      </c>
      <c r="J1743" s="5" t="s">
        <v>66</v>
      </c>
      <c r="K1743" s="5"/>
      <c r="L1743" t="s">
        <v>41</v>
      </c>
    </row>
    <row r="1744" spans="1:12" ht="18.75" customHeight="1" x14ac:dyDescent="0.3">
      <c r="A1744" s="30">
        <v>1762</v>
      </c>
      <c r="B1744" s="29"/>
      <c r="C1744" s="5" t="s">
        <v>40</v>
      </c>
      <c r="D1744" s="7">
        <v>490</v>
      </c>
      <c r="E1744" s="31">
        <v>137536</v>
      </c>
      <c r="F1744" s="29"/>
      <c r="G1744" s="32">
        <v>45712</v>
      </c>
      <c r="H1744" s="29"/>
      <c r="I1744" s="5" t="s">
        <v>28</v>
      </c>
      <c r="J1744" s="5" t="s">
        <v>66</v>
      </c>
      <c r="K1744" s="5"/>
      <c r="L1744" t="s">
        <v>88</v>
      </c>
    </row>
    <row r="1745" spans="1:12" ht="18.75" customHeight="1" x14ac:dyDescent="0.3">
      <c r="A1745" s="30">
        <v>1763</v>
      </c>
      <c r="B1745" s="29"/>
      <c r="C1745" s="5" t="s">
        <v>40</v>
      </c>
      <c r="D1745" s="7">
        <v>390</v>
      </c>
      <c r="E1745" s="31">
        <v>141987</v>
      </c>
      <c r="F1745" s="29"/>
      <c r="G1745" s="32">
        <v>45713</v>
      </c>
      <c r="H1745" s="29"/>
      <c r="I1745" s="5" t="s">
        <v>28</v>
      </c>
      <c r="J1745" s="5" t="s">
        <v>66</v>
      </c>
      <c r="K1745" s="5"/>
      <c r="L1745" t="s">
        <v>41</v>
      </c>
    </row>
    <row r="1746" spans="1:12" ht="18.75" customHeight="1" x14ac:dyDescent="0.3">
      <c r="A1746" s="30">
        <v>1764</v>
      </c>
      <c r="B1746" s="29"/>
      <c r="C1746" s="5" t="s">
        <v>40</v>
      </c>
      <c r="D1746" s="7">
        <v>496</v>
      </c>
      <c r="E1746" s="31">
        <v>137538</v>
      </c>
      <c r="F1746" s="29"/>
      <c r="G1746" s="32">
        <v>45714</v>
      </c>
      <c r="H1746" s="29"/>
      <c r="I1746" s="5" t="s">
        <v>28</v>
      </c>
      <c r="J1746" s="5" t="s">
        <v>66</v>
      </c>
      <c r="K1746" s="5"/>
      <c r="L1746" t="s">
        <v>43</v>
      </c>
    </row>
    <row r="1747" spans="1:12" ht="18.75" customHeight="1" x14ac:dyDescent="0.3">
      <c r="A1747" s="30">
        <v>1765</v>
      </c>
      <c r="B1747" s="29"/>
      <c r="C1747" s="5" t="s">
        <v>40</v>
      </c>
      <c r="D1747" s="7">
        <v>662</v>
      </c>
      <c r="E1747" s="31">
        <v>141451</v>
      </c>
      <c r="F1747" s="29"/>
      <c r="G1747" s="32">
        <v>45715</v>
      </c>
      <c r="H1747" s="29"/>
      <c r="I1747" s="5" t="s">
        <v>28</v>
      </c>
      <c r="J1747" s="5" t="s">
        <v>66</v>
      </c>
      <c r="K1747" s="5"/>
      <c r="L1747" t="s">
        <v>44</v>
      </c>
    </row>
    <row r="1748" spans="1:12" ht="18.75" customHeight="1" x14ac:dyDescent="0.3">
      <c r="A1748" s="30">
        <v>1766</v>
      </c>
      <c r="B1748" s="29"/>
      <c r="C1748" s="5" t="s">
        <v>40</v>
      </c>
      <c r="D1748" s="7">
        <v>640</v>
      </c>
      <c r="E1748" s="31">
        <v>137541</v>
      </c>
      <c r="F1748" s="29"/>
      <c r="G1748" s="32">
        <v>45716</v>
      </c>
      <c r="H1748" s="29"/>
      <c r="I1748" s="5" t="s">
        <v>28</v>
      </c>
      <c r="J1748" s="5" t="s">
        <v>66</v>
      </c>
      <c r="K1748" s="5"/>
      <c r="L1748" t="s">
        <v>43</v>
      </c>
    </row>
    <row r="1749" spans="1:12" ht="18.75" customHeight="1" x14ac:dyDescent="0.3">
      <c r="A1749" s="30">
        <v>1767</v>
      </c>
      <c r="B1749" s="29"/>
      <c r="C1749" s="5" t="s">
        <v>40</v>
      </c>
      <c r="D1749" s="7">
        <v>484</v>
      </c>
      <c r="E1749" s="31">
        <v>142025</v>
      </c>
      <c r="F1749" s="29"/>
      <c r="G1749" s="32">
        <v>45717</v>
      </c>
      <c r="H1749" s="29"/>
      <c r="I1749" s="5" t="s">
        <v>28</v>
      </c>
      <c r="J1749" s="5" t="s">
        <v>66</v>
      </c>
      <c r="K1749" s="5"/>
      <c r="L1749" t="s">
        <v>41</v>
      </c>
    </row>
    <row r="1750" spans="1:12" ht="18.75" customHeight="1" x14ac:dyDescent="0.3">
      <c r="A1750" s="30">
        <v>1768</v>
      </c>
      <c r="B1750" s="29"/>
      <c r="C1750" s="5" t="s">
        <v>14</v>
      </c>
      <c r="D1750" s="7">
        <v>220</v>
      </c>
      <c r="E1750" s="31">
        <v>26011</v>
      </c>
      <c r="F1750" s="29"/>
      <c r="G1750" s="32">
        <v>45711</v>
      </c>
      <c r="H1750" s="29"/>
      <c r="I1750" s="5" t="s">
        <v>54</v>
      </c>
      <c r="J1750" s="5" t="s">
        <v>16</v>
      </c>
      <c r="K1750" s="5" t="s">
        <v>97</v>
      </c>
      <c r="L1750" s="15"/>
    </row>
    <row r="1751" spans="1:12" ht="18.75" customHeight="1" x14ac:dyDescent="0.3">
      <c r="A1751" s="30">
        <v>1769</v>
      </c>
      <c r="B1751" s="29"/>
      <c r="C1751" s="5" t="s">
        <v>14</v>
      </c>
      <c r="D1751" s="7">
        <v>341</v>
      </c>
      <c r="E1751" s="31">
        <v>26017</v>
      </c>
      <c r="F1751" s="29"/>
      <c r="G1751" s="32">
        <v>45712</v>
      </c>
      <c r="H1751" s="29"/>
      <c r="I1751" s="5" t="s">
        <v>54</v>
      </c>
      <c r="J1751" s="5" t="s">
        <v>16</v>
      </c>
      <c r="K1751" s="5" t="s">
        <v>97</v>
      </c>
    </row>
    <row r="1752" spans="1:12" ht="18.75" customHeight="1" x14ac:dyDescent="0.3">
      <c r="A1752" s="30">
        <v>1770</v>
      </c>
      <c r="B1752" s="29"/>
      <c r="C1752" s="5" t="s">
        <v>14</v>
      </c>
      <c r="D1752" s="7">
        <v>242</v>
      </c>
      <c r="E1752" s="31">
        <v>26034</v>
      </c>
      <c r="F1752" s="29"/>
      <c r="G1752" s="32">
        <v>45713</v>
      </c>
      <c r="H1752" s="29"/>
      <c r="I1752" s="5" t="s">
        <v>54</v>
      </c>
      <c r="J1752" s="5" t="s">
        <v>16</v>
      </c>
      <c r="K1752" s="5" t="s">
        <v>97</v>
      </c>
    </row>
    <row r="1753" spans="1:12" ht="18.75" customHeight="1" x14ac:dyDescent="0.3">
      <c r="A1753" s="30">
        <v>1771</v>
      </c>
      <c r="B1753" s="29"/>
      <c r="C1753" s="5" t="s">
        <v>14</v>
      </c>
      <c r="D1753" s="7">
        <v>306</v>
      </c>
      <c r="E1753" s="31">
        <v>26041</v>
      </c>
      <c r="F1753" s="29"/>
      <c r="G1753" s="32">
        <v>45714</v>
      </c>
      <c r="H1753" s="29"/>
      <c r="I1753" s="5" t="s">
        <v>54</v>
      </c>
      <c r="J1753" s="5" t="s">
        <v>16</v>
      </c>
      <c r="K1753" s="5" t="s">
        <v>97</v>
      </c>
    </row>
    <row r="1754" spans="1:12" ht="18.75" customHeight="1" x14ac:dyDescent="0.3">
      <c r="A1754" s="30">
        <v>1772</v>
      </c>
      <c r="B1754" s="29"/>
      <c r="C1754" s="5" t="s">
        <v>14</v>
      </c>
      <c r="D1754" s="7">
        <v>200</v>
      </c>
      <c r="E1754" s="31">
        <v>26054</v>
      </c>
      <c r="F1754" s="29"/>
      <c r="G1754" s="32">
        <v>45715</v>
      </c>
      <c r="H1754" s="29"/>
      <c r="I1754" s="5" t="s">
        <v>54</v>
      </c>
      <c r="J1754" s="5" t="s">
        <v>16</v>
      </c>
      <c r="K1754" s="5" t="s">
        <v>97</v>
      </c>
    </row>
    <row r="1755" spans="1:12" ht="18.75" customHeight="1" x14ac:dyDescent="0.3">
      <c r="A1755" s="30">
        <v>1773</v>
      </c>
      <c r="B1755" s="29"/>
      <c r="C1755" s="5" t="s">
        <v>14</v>
      </c>
      <c r="D1755" s="7">
        <v>240</v>
      </c>
      <c r="E1755" s="31">
        <v>26057</v>
      </c>
      <c r="F1755" s="29"/>
      <c r="G1755" s="32">
        <v>45716</v>
      </c>
      <c r="H1755" s="29"/>
      <c r="I1755" s="5" t="s">
        <v>54</v>
      </c>
      <c r="J1755" s="5" t="s">
        <v>16</v>
      </c>
      <c r="K1755" s="5" t="s">
        <v>97</v>
      </c>
    </row>
    <row r="1756" spans="1:12" ht="18.75" customHeight="1" x14ac:dyDescent="0.3">
      <c r="A1756" s="30">
        <v>1774</v>
      </c>
      <c r="B1756" s="29"/>
      <c r="C1756" s="5" t="s">
        <v>14</v>
      </c>
      <c r="D1756" s="7">
        <v>210</v>
      </c>
      <c r="E1756" s="31">
        <v>26070</v>
      </c>
      <c r="F1756" s="29"/>
      <c r="G1756" s="32">
        <v>45717</v>
      </c>
      <c r="H1756" s="29"/>
      <c r="I1756" s="5" t="s">
        <v>54</v>
      </c>
      <c r="J1756" s="5" t="s">
        <v>16</v>
      </c>
      <c r="K1756" s="5" t="s">
        <v>97</v>
      </c>
    </row>
    <row r="1757" spans="1:12" ht="18.75" customHeight="1" x14ac:dyDescent="0.3">
      <c r="A1757" s="30">
        <v>1775</v>
      </c>
      <c r="B1757" s="29"/>
      <c r="C1757" s="5" t="s">
        <v>14</v>
      </c>
      <c r="D1757" s="7">
        <v>245</v>
      </c>
      <c r="E1757" s="31">
        <v>26018</v>
      </c>
      <c r="F1757" s="29"/>
      <c r="G1757" s="32">
        <v>45712</v>
      </c>
      <c r="H1757" s="29"/>
      <c r="I1757" s="5" t="s">
        <v>98</v>
      </c>
      <c r="J1757" s="5" t="s">
        <v>96</v>
      </c>
      <c r="K1757" s="5" t="s">
        <v>99</v>
      </c>
    </row>
    <row r="1758" spans="1:12" ht="18.75" customHeight="1" x14ac:dyDescent="0.3">
      <c r="A1758" s="30">
        <v>1776</v>
      </c>
      <c r="B1758" s="29"/>
      <c r="C1758" s="5" t="s">
        <v>14</v>
      </c>
      <c r="D1758" s="7">
        <v>305</v>
      </c>
      <c r="E1758" s="31">
        <v>26030</v>
      </c>
      <c r="F1758" s="29"/>
      <c r="G1758" s="32">
        <v>45713</v>
      </c>
      <c r="H1758" s="29"/>
      <c r="I1758" s="5" t="s">
        <v>98</v>
      </c>
      <c r="J1758" s="5" t="s">
        <v>96</v>
      </c>
      <c r="K1758" s="5" t="s">
        <v>99</v>
      </c>
    </row>
    <row r="1759" spans="1:12" ht="18.75" customHeight="1" x14ac:dyDescent="0.3">
      <c r="A1759" s="30">
        <v>1777</v>
      </c>
      <c r="B1759" s="29"/>
      <c r="C1759" s="5" t="s">
        <v>14</v>
      </c>
      <c r="D1759" s="7">
        <v>298</v>
      </c>
      <c r="E1759" s="31">
        <v>26039</v>
      </c>
      <c r="F1759" s="29"/>
      <c r="G1759" s="32">
        <v>45714</v>
      </c>
      <c r="H1759" s="29"/>
      <c r="I1759" s="5" t="s">
        <v>98</v>
      </c>
      <c r="J1759" s="5" t="s">
        <v>96</v>
      </c>
      <c r="K1759" s="5" t="s">
        <v>99</v>
      </c>
    </row>
    <row r="1760" spans="1:12" ht="18.75" customHeight="1" x14ac:dyDescent="0.3">
      <c r="A1760" s="30">
        <v>1778</v>
      </c>
      <c r="B1760" s="29"/>
      <c r="C1760" s="5" t="s">
        <v>14</v>
      </c>
      <c r="D1760" s="7">
        <v>301</v>
      </c>
      <c r="E1760" s="31">
        <v>26049</v>
      </c>
      <c r="F1760" s="29"/>
      <c r="G1760" s="32">
        <v>45715</v>
      </c>
      <c r="H1760" s="29"/>
      <c r="I1760" s="5" t="s">
        <v>98</v>
      </c>
      <c r="J1760" s="5" t="s">
        <v>96</v>
      </c>
      <c r="K1760" s="5" t="s">
        <v>99</v>
      </c>
    </row>
    <row r="1761" spans="1:12" ht="18.75" customHeight="1" x14ac:dyDescent="0.3">
      <c r="A1761" s="30">
        <v>1779</v>
      </c>
      <c r="B1761" s="29"/>
      <c r="C1761" s="5" t="s">
        <v>14</v>
      </c>
      <c r="D1761" s="7">
        <v>263</v>
      </c>
      <c r="E1761" s="31">
        <v>26064</v>
      </c>
      <c r="F1761" s="29"/>
      <c r="G1761" s="32">
        <v>45716</v>
      </c>
      <c r="H1761" s="29"/>
      <c r="I1761" s="5" t="s">
        <v>98</v>
      </c>
      <c r="J1761" s="5" t="s">
        <v>96</v>
      </c>
      <c r="K1761" s="5" t="s">
        <v>99</v>
      </c>
    </row>
    <row r="1762" spans="1:12" ht="18.75" customHeight="1" x14ac:dyDescent="0.3">
      <c r="A1762" s="30">
        <v>1780</v>
      </c>
      <c r="B1762" s="29"/>
      <c r="C1762" s="5" t="s">
        <v>14</v>
      </c>
      <c r="D1762" s="7">
        <v>174</v>
      </c>
      <c r="E1762" s="31">
        <v>26071</v>
      </c>
      <c r="F1762" s="29"/>
      <c r="G1762" s="32">
        <v>45717</v>
      </c>
      <c r="H1762" s="29"/>
      <c r="I1762" s="5" t="s">
        <v>98</v>
      </c>
      <c r="J1762" s="5" t="s">
        <v>96</v>
      </c>
      <c r="K1762" s="5" t="s">
        <v>99</v>
      </c>
    </row>
    <row r="1763" spans="1:12" ht="18.75" customHeight="1" x14ac:dyDescent="0.3">
      <c r="A1763" s="30">
        <v>1781</v>
      </c>
      <c r="B1763" s="29"/>
      <c r="C1763" s="5" t="s">
        <v>14</v>
      </c>
      <c r="D1763" s="7">
        <v>276</v>
      </c>
      <c r="E1763" s="31">
        <v>25969</v>
      </c>
      <c r="F1763" s="29"/>
      <c r="G1763" s="32">
        <v>45707</v>
      </c>
      <c r="H1763" s="29"/>
      <c r="I1763" s="5" t="s">
        <v>28</v>
      </c>
      <c r="J1763" s="5" t="s">
        <v>66</v>
      </c>
      <c r="K1763" s="5" t="s">
        <v>30</v>
      </c>
    </row>
    <row r="1764" spans="1:12" ht="18.75" customHeight="1" x14ac:dyDescent="0.3">
      <c r="A1764" s="30">
        <v>1782</v>
      </c>
      <c r="B1764" s="29"/>
      <c r="C1764" s="5" t="s">
        <v>14</v>
      </c>
      <c r="D1764" s="7">
        <v>339</v>
      </c>
      <c r="E1764" s="31">
        <v>26016</v>
      </c>
      <c r="F1764" s="29"/>
      <c r="G1764" s="32">
        <v>45712</v>
      </c>
      <c r="H1764" s="29"/>
      <c r="I1764" s="5" t="s">
        <v>28</v>
      </c>
      <c r="J1764" s="5" t="s">
        <v>66</v>
      </c>
      <c r="K1764" s="5" t="s">
        <v>30</v>
      </c>
    </row>
    <row r="1765" spans="1:12" ht="18.75" customHeight="1" x14ac:dyDescent="0.3">
      <c r="A1765" s="30">
        <v>1783</v>
      </c>
      <c r="B1765" s="29"/>
      <c r="C1765" s="5" t="s">
        <v>14</v>
      </c>
      <c r="D1765" s="7">
        <v>282</v>
      </c>
      <c r="E1765" s="31">
        <v>26028</v>
      </c>
      <c r="F1765" s="29"/>
      <c r="G1765" s="32">
        <v>45713</v>
      </c>
      <c r="H1765" s="29"/>
      <c r="I1765" s="5" t="s">
        <v>28</v>
      </c>
      <c r="J1765" s="5" t="s">
        <v>66</v>
      </c>
      <c r="K1765" s="5" t="s">
        <v>30</v>
      </c>
    </row>
    <row r="1766" spans="1:12" ht="18.75" customHeight="1" x14ac:dyDescent="0.3">
      <c r="A1766" s="30">
        <v>1784</v>
      </c>
      <c r="B1766" s="29"/>
      <c r="C1766" s="5" t="s">
        <v>14</v>
      </c>
      <c r="D1766" s="7">
        <v>295</v>
      </c>
      <c r="E1766" s="31">
        <v>26038</v>
      </c>
      <c r="F1766" s="29"/>
      <c r="G1766" s="32">
        <v>45714</v>
      </c>
      <c r="H1766" s="29"/>
      <c r="I1766" s="5" t="s">
        <v>28</v>
      </c>
      <c r="J1766" s="5" t="s">
        <v>66</v>
      </c>
      <c r="K1766" s="5" t="s">
        <v>30</v>
      </c>
    </row>
    <row r="1767" spans="1:12" ht="18.75" customHeight="1" x14ac:dyDescent="0.3">
      <c r="A1767" s="30">
        <v>1785</v>
      </c>
      <c r="B1767" s="29"/>
      <c r="C1767" s="5" t="s">
        <v>14</v>
      </c>
      <c r="D1767" s="7">
        <v>280</v>
      </c>
      <c r="E1767" s="31">
        <v>26052</v>
      </c>
      <c r="F1767" s="29"/>
      <c r="G1767" s="32">
        <v>45715</v>
      </c>
      <c r="H1767" s="29"/>
      <c r="I1767" s="5" t="s">
        <v>28</v>
      </c>
      <c r="J1767" s="5" t="s">
        <v>66</v>
      </c>
      <c r="K1767" s="5" t="s">
        <v>30</v>
      </c>
    </row>
    <row r="1768" spans="1:12" ht="18.75" customHeight="1" x14ac:dyDescent="0.3">
      <c r="A1768" s="30">
        <v>1786</v>
      </c>
      <c r="B1768" s="29"/>
      <c r="C1768" s="5" t="s">
        <v>14</v>
      </c>
      <c r="D1768" s="7">
        <v>488</v>
      </c>
      <c r="E1768" s="31">
        <v>26063</v>
      </c>
      <c r="F1768" s="29"/>
      <c r="G1768" s="32">
        <v>45716</v>
      </c>
      <c r="H1768" s="29"/>
      <c r="I1768" s="5" t="s">
        <v>28</v>
      </c>
      <c r="J1768" s="5" t="s">
        <v>66</v>
      </c>
      <c r="K1768" s="5" t="s">
        <v>30</v>
      </c>
    </row>
    <row r="1769" spans="1:12" ht="18.75" customHeight="1" x14ac:dyDescent="0.3">
      <c r="A1769" s="30">
        <v>1787</v>
      </c>
      <c r="B1769" s="29"/>
      <c r="C1769" s="5" t="s">
        <v>14</v>
      </c>
      <c r="D1769" s="7">
        <v>223</v>
      </c>
      <c r="E1769" s="31">
        <v>26068</v>
      </c>
      <c r="F1769" s="29"/>
      <c r="G1769" s="32">
        <v>45717</v>
      </c>
      <c r="H1769" s="29"/>
      <c r="I1769" s="5" t="s">
        <v>28</v>
      </c>
      <c r="J1769" s="5" t="s">
        <v>66</v>
      </c>
      <c r="K1769" s="5" t="s">
        <v>30</v>
      </c>
    </row>
    <row r="1770" spans="1:12" ht="18.75" customHeight="1" x14ac:dyDescent="0.3">
      <c r="A1770" s="30">
        <v>1788</v>
      </c>
      <c r="B1770" s="29"/>
      <c r="C1770" s="5" t="s">
        <v>40</v>
      </c>
      <c r="D1770" s="7">
        <v>450</v>
      </c>
      <c r="E1770" s="31">
        <v>142027</v>
      </c>
      <c r="F1770" s="29"/>
      <c r="G1770" s="32">
        <v>45719</v>
      </c>
      <c r="H1770" s="29"/>
      <c r="I1770" s="5" t="s">
        <v>15</v>
      </c>
      <c r="J1770" s="5" t="s">
        <v>30</v>
      </c>
      <c r="K1770" s="5"/>
      <c r="L1770" t="s">
        <v>41</v>
      </c>
    </row>
    <row r="1771" spans="1:12" ht="18.75" customHeight="1" x14ac:dyDescent="0.3">
      <c r="A1771" s="30">
        <v>1789</v>
      </c>
      <c r="B1771" s="29"/>
      <c r="C1771" s="5" t="s">
        <v>40</v>
      </c>
      <c r="D1771" s="7">
        <v>675</v>
      </c>
      <c r="E1771" s="31">
        <v>141458</v>
      </c>
      <c r="F1771" s="29"/>
      <c r="G1771" s="32">
        <v>45720</v>
      </c>
      <c r="H1771" s="29"/>
      <c r="I1771" s="5" t="s">
        <v>15</v>
      </c>
      <c r="J1771" s="5" t="s">
        <v>30</v>
      </c>
      <c r="K1771" s="5"/>
      <c r="L1771" t="s">
        <v>44</v>
      </c>
    </row>
    <row r="1772" spans="1:12" ht="18.75" customHeight="1" x14ac:dyDescent="0.3">
      <c r="A1772" s="30">
        <v>1790</v>
      </c>
      <c r="B1772" s="29"/>
      <c r="C1772" s="5" t="s">
        <v>40</v>
      </c>
      <c r="D1772" s="7">
        <v>568</v>
      </c>
      <c r="E1772" s="31">
        <v>138981</v>
      </c>
      <c r="F1772" s="29"/>
      <c r="G1772" s="32">
        <v>45721</v>
      </c>
      <c r="H1772" s="29"/>
      <c r="I1772" s="5" t="s">
        <v>15</v>
      </c>
      <c r="J1772" s="5" t="s">
        <v>30</v>
      </c>
      <c r="K1772" s="5"/>
      <c r="L1772" t="s">
        <v>42</v>
      </c>
    </row>
    <row r="1773" spans="1:12" ht="18.75" customHeight="1" x14ac:dyDescent="0.3">
      <c r="A1773" s="30">
        <v>1791</v>
      </c>
      <c r="B1773" s="29"/>
      <c r="C1773" s="5" t="s">
        <v>40</v>
      </c>
      <c r="D1773" s="7">
        <v>520</v>
      </c>
      <c r="E1773" s="31">
        <v>137547</v>
      </c>
      <c r="F1773" s="29"/>
      <c r="G1773" s="32">
        <v>45722</v>
      </c>
      <c r="H1773" s="29"/>
      <c r="I1773" s="5" t="s">
        <v>15</v>
      </c>
      <c r="J1773" s="5" t="s">
        <v>30</v>
      </c>
      <c r="K1773" s="5"/>
      <c r="L1773" t="s">
        <v>87</v>
      </c>
    </row>
    <row r="1774" spans="1:12" ht="18.75" customHeight="1" x14ac:dyDescent="0.3">
      <c r="A1774" s="30">
        <v>1792</v>
      </c>
      <c r="B1774" s="29"/>
      <c r="C1774" s="5" t="s">
        <v>40</v>
      </c>
      <c r="D1774" s="7">
        <v>490</v>
      </c>
      <c r="E1774" s="31">
        <v>138991</v>
      </c>
      <c r="F1774" s="29"/>
      <c r="G1774" s="32">
        <v>45723</v>
      </c>
      <c r="H1774" s="29"/>
      <c r="I1774" s="5" t="s">
        <v>15</v>
      </c>
      <c r="J1774" s="5" t="s">
        <v>30</v>
      </c>
      <c r="K1774" s="5"/>
      <c r="L1774" t="s">
        <v>42</v>
      </c>
    </row>
    <row r="1775" spans="1:12" ht="18.75" customHeight="1" x14ac:dyDescent="0.3">
      <c r="A1775" s="30">
        <v>1793</v>
      </c>
      <c r="B1775" s="29"/>
      <c r="C1775" s="5" t="s">
        <v>40</v>
      </c>
      <c r="D1775" s="7">
        <v>665</v>
      </c>
      <c r="E1775" s="31">
        <v>141470</v>
      </c>
      <c r="F1775" s="29"/>
      <c r="G1775" s="32">
        <v>45724</v>
      </c>
      <c r="H1775" s="29"/>
      <c r="I1775" s="5" t="s">
        <v>15</v>
      </c>
      <c r="J1775" s="5" t="s">
        <v>30</v>
      </c>
      <c r="K1775" s="5"/>
      <c r="L1775" t="s">
        <v>44</v>
      </c>
    </row>
    <row r="1776" spans="1:12" ht="18.75" customHeight="1" x14ac:dyDescent="0.3">
      <c r="A1776" s="30">
        <v>1794</v>
      </c>
      <c r="B1776" s="29"/>
      <c r="C1776" s="5" t="s">
        <v>40</v>
      </c>
      <c r="D1776" s="7">
        <v>520</v>
      </c>
      <c r="E1776" s="31">
        <v>137543</v>
      </c>
      <c r="F1776" s="29"/>
      <c r="G1776" s="32">
        <v>45719</v>
      </c>
      <c r="H1776" s="29"/>
      <c r="I1776" s="5" t="s">
        <v>28</v>
      </c>
      <c r="J1776" s="5" t="s">
        <v>66</v>
      </c>
      <c r="K1776" s="5"/>
      <c r="L1776" t="s">
        <v>43</v>
      </c>
    </row>
    <row r="1777" spans="1:12" ht="18.75" customHeight="1" x14ac:dyDescent="0.3">
      <c r="A1777" s="30">
        <v>1795</v>
      </c>
      <c r="B1777" s="29"/>
      <c r="C1777" s="5" t="s">
        <v>40</v>
      </c>
      <c r="D1777" s="7">
        <v>500</v>
      </c>
      <c r="E1777" s="31">
        <v>137546</v>
      </c>
      <c r="F1777" s="29"/>
      <c r="G1777" s="32">
        <v>45720</v>
      </c>
      <c r="H1777" s="29"/>
      <c r="I1777" s="5" t="s">
        <v>28</v>
      </c>
      <c r="J1777" s="5" t="s">
        <v>66</v>
      </c>
      <c r="K1777" s="5"/>
      <c r="L1777" t="s">
        <v>43</v>
      </c>
    </row>
    <row r="1778" spans="1:12" ht="18.75" customHeight="1" x14ac:dyDescent="0.3">
      <c r="A1778" s="30">
        <v>1796</v>
      </c>
      <c r="B1778" s="29"/>
      <c r="C1778" s="5" t="s">
        <v>40</v>
      </c>
      <c r="D1778" s="7">
        <v>630</v>
      </c>
      <c r="E1778" s="31">
        <v>141461</v>
      </c>
      <c r="F1778" s="29"/>
      <c r="G1778" s="32">
        <v>45721</v>
      </c>
      <c r="H1778" s="29"/>
      <c r="I1778" s="5" t="s">
        <v>28</v>
      </c>
      <c r="J1778" s="5" t="s">
        <v>66</v>
      </c>
      <c r="K1778" s="5"/>
      <c r="L1778" t="s">
        <v>44</v>
      </c>
    </row>
    <row r="1779" spans="1:12" ht="18.75" customHeight="1" x14ac:dyDescent="0.3">
      <c r="A1779" s="30">
        <v>1797</v>
      </c>
      <c r="B1779" s="29"/>
      <c r="C1779" s="5" t="s">
        <v>40</v>
      </c>
      <c r="D1779" s="7">
        <v>296</v>
      </c>
      <c r="E1779" s="31">
        <v>142046</v>
      </c>
      <c r="F1779" s="29"/>
      <c r="G1779" s="32">
        <v>45722</v>
      </c>
      <c r="H1779" s="29"/>
      <c r="I1779" s="5" t="s">
        <v>28</v>
      </c>
      <c r="J1779" s="5" t="s">
        <v>66</v>
      </c>
      <c r="K1779" s="5"/>
      <c r="L1779" t="s">
        <v>41</v>
      </c>
    </row>
    <row r="1780" spans="1:12" ht="18.75" customHeight="1" x14ac:dyDescent="0.3">
      <c r="A1780" s="30">
        <v>1798</v>
      </c>
      <c r="B1780" s="29"/>
      <c r="C1780" s="5" t="s">
        <v>40</v>
      </c>
      <c r="D1780" s="7">
        <v>654</v>
      </c>
      <c r="E1780" s="31">
        <v>141466</v>
      </c>
      <c r="F1780" s="29"/>
      <c r="G1780" s="32">
        <v>45723</v>
      </c>
      <c r="H1780" s="29"/>
      <c r="I1780" s="5" t="s">
        <v>28</v>
      </c>
      <c r="J1780" s="5" t="s">
        <v>66</v>
      </c>
      <c r="K1780" s="5"/>
      <c r="L1780" t="s">
        <v>44</v>
      </c>
    </row>
    <row r="1781" spans="1:12" ht="18.75" customHeight="1" x14ac:dyDescent="0.3">
      <c r="A1781" s="30">
        <v>1799</v>
      </c>
      <c r="B1781" s="29"/>
      <c r="C1781" s="5" t="s">
        <v>14</v>
      </c>
      <c r="D1781" s="7">
        <v>337</v>
      </c>
      <c r="E1781" s="31">
        <v>26087</v>
      </c>
      <c r="F1781" s="29"/>
      <c r="G1781" s="32">
        <v>45719</v>
      </c>
      <c r="H1781" s="29"/>
      <c r="I1781" s="5" t="s">
        <v>54</v>
      </c>
      <c r="J1781" s="5" t="s">
        <v>16</v>
      </c>
      <c r="K1781" s="5" t="s">
        <v>97</v>
      </c>
    </row>
    <row r="1782" spans="1:12" ht="18.75" customHeight="1" x14ac:dyDescent="0.3">
      <c r="A1782" s="30">
        <v>1800</v>
      </c>
      <c r="B1782" s="29"/>
      <c r="C1782" s="5" t="s">
        <v>14</v>
      </c>
      <c r="D1782" s="7">
        <v>372</v>
      </c>
      <c r="E1782" s="31">
        <v>26112</v>
      </c>
      <c r="F1782" s="29"/>
      <c r="G1782" s="32">
        <v>45721</v>
      </c>
      <c r="H1782" s="29"/>
      <c r="I1782" s="5" t="s">
        <v>54</v>
      </c>
      <c r="J1782" s="5" t="s">
        <v>16</v>
      </c>
      <c r="K1782" s="5" t="s">
        <v>97</v>
      </c>
    </row>
    <row r="1783" spans="1:12" ht="18.75" customHeight="1" x14ac:dyDescent="0.3">
      <c r="A1783" s="30">
        <v>1801</v>
      </c>
      <c r="B1783" s="29"/>
      <c r="C1783" s="5" t="s">
        <v>14</v>
      </c>
      <c r="D1783" s="7">
        <v>309</v>
      </c>
      <c r="E1783" s="31">
        <v>26123</v>
      </c>
      <c r="F1783" s="29"/>
      <c r="G1783" s="32">
        <v>45722</v>
      </c>
      <c r="H1783" s="29"/>
      <c r="I1783" s="5" t="s">
        <v>54</v>
      </c>
      <c r="J1783" s="5" t="s">
        <v>16</v>
      </c>
      <c r="K1783" s="5" t="s">
        <v>97</v>
      </c>
    </row>
    <row r="1784" spans="1:12" ht="18.75" customHeight="1" x14ac:dyDescent="0.3">
      <c r="A1784" s="30">
        <v>1802</v>
      </c>
      <c r="B1784" s="29"/>
      <c r="C1784" s="5" t="s">
        <v>14</v>
      </c>
      <c r="D1784" s="7">
        <v>298</v>
      </c>
      <c r="E1784" s="31">
        <v>26131</v>
      </c>
      <c r="F1784" s="29"/>
      <c r="G1784" s="32">
        <v>45723</v>
      </c>
      <c r="H1784" s="29"/>
      <c r="I1784" s="5" t="s">
        <v>54</v>
      </c>
      <c r="J1784" s="5" t="s">
        <v>16</v>
      </c>
      <c r="K1784" s="5" t="s">
        <v>97</v>
      </c>
    </row>
    <row r="1785" spans="1:12" ht="18.75" customHeight="1" x14ac:dyDescent="0.3">
      <c r="A1785" s="30">
        <v>1803</v>
      </c>
      <c r="B1785" s="29"/>
      <c r="C1785" s="5" t="s">
        <v>14</v>
      </c>
      <c r="D1785" s="7">
        <v>250</v>
      </c>
      <c r="E1785" s="31">
        <v>26138</v>
      </c>
      <c r="F1785" s="29"/>
      <c r="G1785" s="32">
        <v>45724</v>
      </c>
      <c r="H1785" s="29"/>
      <c r="I1785" s="5" t="s">
        <v>54</v>
      </c>
      <c r="J1785" s="5" t="s">
        <v>16</v>
      </c>
      <c r="K1785" s="5" t="s">
        <v>97</v>
      </c>
    </row>
    <row r="1786" spans="1:12" ht="18.75" customHeight="1" x14ac:dyDescent="0.3">
      <c r="A1786" s="30">
        <v>1804</v>
      </c>
      <c r="B1786" s="29"/>
      <c r="C1786" s="5" t="s">
        <v>14</v>
      </c>
      <c r="D1786" s="7">
        <v>280</v>
      </c>
      <c r="E1786" s="31">
        <v>26091</v>
      </c>
      <c r="F1786" s="29"/>
      <c r="G1786" s="32">
        <v>45719</v>
      </c>
      <c r="H1786" s="29"/>
      <c r="I1786" s="5" t="s">
        <v>98</v>
      </c>
      <c r="J1786" s="5" t="s">
        <v>96</v>
      </c>
      <c r="K1786" s="5" t="s">
        <v>99</v>
      </c>
    </row>
    <row r="1787" spans="1:12" ht="18.75" customHeight="1" x14ac:dyDescent="0.3">
      <c r="A1787" s="30">
        <v>1805</v>
      </c>
      <c r="B1787" s="29"/>
      <c r="C1787" s="5" t="s">
        <v>14</v>
      </c>
      <c r="D1787" s="7">
        <v>334</v>
      </c>
      <c r="E1787" s="31">
        <v>26101</v>
      </c>
      <c r="F1787" s="29"/>
      <c r="G1787" s="32">
        <v>45720</v>
      </c>
      <c r="H1787" s="29"/>
      <c r="I1787" s="5" t="s">
        <v>98</v>
      </c>
      <c r="J1787" s="5" t="s">
        <v>96</v>
      </c>
      <c r="K1787" s="5" t="s">
        <v>99</v>
      </c>
    </row>
    <row r="1788" spans="1:12" ht="18.75" customHeight="1" x14ac:dyDescent="0.3">
      <c r="A1788" s="30">
        <v>1806</v>
      </c>
      <c r="B1788" s="29"/>
      <c r="C1788" s="5" t="s">
        <v>14</v>
      </c>
      <c r="D1788" s="7">
        <v>351</v>
      </c>
      <c r="E1788" s="31">
        <v>26109</v>
      </c>
      <c r="F1788" s="29"/>
      <c r="G1788" s="32">
        <v>45721</v>
      </c>
      <c r="H1788" s="29"/>
      <c r="I1788" s="5" t="s">
        <v>98</v>
      </c>
      <c r="J1788" s="5" t="s">
        <v>96</v>
      </c>
      <c r="K1788" s="5" t="s">
        <v>99</v>
      </c>
    </row>
    <row r="1789" spans="1:12" ht="18.75" customHeight="1" x14ac:dyDescent="0.3">
      <c r="A1789" s="30">
        <v>1807</v>
      </c>
      <c r="B1789" s="29"/>
      <c r="C1789" s="5" t="s">
        <v>14</v>
      </c>
      <c r="D1789" s="7">
        <v>305</v>
      </c>
      <c r="E1789" s="31">
        <v>26119</v>
      </c>
      <c r="F1789" s="29"/>
      <c r="G1789" s="32">
        <v>45722</v>
      </c>
      <c r="H1789" s="29"/>
      <c r="I1789" s="5" t="s">
        <v>98</v>
      </c>
      <c r="J1789" s="5" t="s">
        <v>96</v>
      </c>
      <c r="K1789" s="5" t="s">
        <v>99</v>
      </c>
    </row>
    <row r="1790" spans="1:12" ht="18.75" customHeight="1" x14ac:dyDescent="0.3">
      <c r="A1790" s="30">
        <v>1808</v>
      </c>
      <c r="B1790" s="29"/>
      <c r="C1790" s="5" t="s">
        <v>14</v>
      </c>
      <c r="D1790" s="7">
        <v>322</v>
      </c>
      <c r="E1790" s="31">
        <v>26129</v>
      </c>
      <c r="F1790" s="29"/>
      <c r="G1790" s="32">
        <v>45723</v>
      </c>
      <c r="H1790" s="29"/>
      <c r="I1790" s="5" t="s">
        <v>98</v>
      </c>
      <c r="J1790" s="5" t="s">
        <v>96</v>
      </c>
      <c r="K1790" s="5" t="s">
        <v>99</v>
      </c>
    </row>
    <row r="1791" spans="1:12" ht="18.75" customHeight="1" x14ac:dyDescent="0.3">
      <c r="A1791" s="30">
        <v>1809</v>
      </c>
      <c r="B1791" s="29"/>
      <c r="C1791" s="5" t="s">
        <v>14</v>
      </c>
      <c r="D1791" s="7">
        <v>326</v>
      </c>
      <c r="E1791" s="31">
        <v>26141</v>
      </c>
      <c r="F1791" s="29"/>
      <c r="G1791" s="32">
        <v>45724</v>
      </c>
      <c r="H1791" s="29"/>
      <c r="I1791" s="5" t="s">
        <v>98</v>
      </c>
      <c r="J1791" s="5" t="s">
        <v>96</v>
      </c>
      <c r="K1791" s="5" t="s">
        <v>99</v>
      </c>
    </row>
    <row r="1792" spans="1:12" ht="18.75" customHeight="1" x14ac:dyDescent="0.3">
      <c r="A1792" s="30">
        <v>1810</v>
      </c>
      <c r="B1792" s="29"/>
      <c r="C1792" s="5" t="s">
        <v>14</v>
      </c>
      <c r="D1792" s="7">
        <v>388</v>
      </c>
      <c r="E1792" s="31">
        <v>26085</v>
      </c>
      <c r="F1792" s="29"/>
      <c r="G1792" s="32">
        <v>45719</v>
      </c>
      <c r="H1792" s="29"/>
      <c r="I1792" s="5" t="s">
        <v>28</v>
      </c>
      <c r="J1792" s="5" t="s">
        <v>66</v>
      </c>
      <c r="K1792" s="5" t="s">
        <v>30</v>
      </c>
    </row>
    <row r="1793" spans="1:11" ht="18.75" customHeight="1" x14ac:dyDescent="0.3">
      <c r="A1793" s="30">
        <v>1811</v>
      </c>
      <c r="B1793" s="29"/>
      <c r="C1793" s="5" t="s">
        <v>14</v>
      </c>
      <c r="D1793" s="7">
        <v>430</v>
      </c>
      <c r="E1793" s="31">
        <v>26098</v>
      </c>
      <c r="F1793" s="29"/>
      <c r="G1793" s="32">
        <v>45720</v>
      </c>
      <c r="H1793" s="29"/>
      <c r="I1793" s="5" t="s">
        <v>28</v>
      </c>
      <c r="J1793" s="5" t="s">
        <v>66</v>
      </c>
      <c r="K1793" s="5" t="s">
        <v>30</v>
      </c>
    </row>
    <row r="1794" spans="1:11" ht="18.75" customHeight="1" x14ac:dyDescent="0.3">
      <c r="A1794" s="30">
        <v>1812</v>
      </c>
      <c r="B1794" s="29"/>
      <c r="C1794" s="5" t="s">
        <v>14</v>
      </c>
      <c r="D1794" s="7">
        <v>382</v>
      </c>
      <c r="E1794" s="31">
        <v>26108</v>
      </c>
      <c r="F1794" s="29"/>
      <c r="G1794" s="32">
        <v>45721</v>
      </c>
      <c r="H1794" s="29"/>
      <c r="I1794" s="5" t="s">
        <v>28</v>
      </c>
      <c r="J1794" s="5" t="s">
        <v>66</v>
      </c>
      <c r="K1794" s="5" t="s">
        <v>30</v>
      </c>
    </row>
    <row r="1795" spans="1:11" ht="18.75" customHeight="1" x14ac:dyDescent="0.3">
      <c r="A1795" s="30">
        <v>1813</v>
      </c>
      <c r="B1795" s="29"/>
      <c r="C1795" s="5" t="s">
        <v>14</v>
      </c>
      <c r="D1795" s="7">
        <v>431</v>
      </c>
      <c r="E1795" s="31">
        <v>26120</v>
      </c>
      <c r="F1795" s="29"/>
      <c r="G1795" s="32">
        <v>45722</v>
      </c>
      <c r="H1795" s="29"/>
      <c r="I1795" s="5" t="s">
        <v>28</v>
      </c>
      <c r="J1795" s="5" t="s">
        <v>66</v>
      </c>
      <c r="K1795" s="5" t="s">
        <v>30</v>
      </c>
    </row>
    <row r="1796" spans="1:11" ht="18.75" customHeight="1" x14ac:dyDescent="0.3">
      <c r="A1796" s="30">
        <v>1814</v>
      </c>
      <c r="B1796" s="29"/>
      <c r="C1796" s="5" t="s">
        <v>14</v>
      </c>
      <c r="D1796" s="7">
        <v>284</v>
      </c>
      <c r="E1796" s="31">
        <v>26130</v>
      </c>
      <c r="F1796" s="29"/>
      <c r="G1796" s="32">
        <v>45723</v>
      </c>
      <c r="H1796" s="29"/>
      <c r="I1796" s="5" t="s">
        <v>28</v>
      </c>
      <c r="J1796" s="5" t="s">
        <v>66</v>
      </c>
      <c r="K1796" s="5" t="s">
        <v>30</v>
      </c>
    </row>
    <row r="1797" spans="1:11" ht="18.75" customHeight="1" x14ac:dyDescent="0.3">
      <c r="A1797" s="30">
        <v>1815</v>
      </c>
      <c r="B1797" s="29"/>
      <c r="C1797" s="5" t="s">
        <v>14</v>
      </c>
      <c r="D1797" s="7">
        <v>320</v>
      </c>
      <c r="E1797" s="31">
        <v>26142</v>
      </c>
      <c r="F1797" s="29"/>
      <c r="G1797" s="32">
        <v>45724</v>
      </c>
      <c r="H1797" s="29"/>
      <c r="I1797" s="5" t="s">
        <v>28</v>
      </c>
      <c r="J1797" s="5" t="s">
        <v>66</v>
      </c>
      <c r="K1797" s="5" t="s">
        <v>30</v>
      </c>
    </row>
    <row r="1798" spans="1:11" ht="18.75" customHeight="1" x14ac:dyDescent="0.3">
      <c r="A1798" s="30">
        <v>1816</v>
      </c>
      <c r="B1798" s="29"/>
      <c r="C1798" s="5" t="s">
        <v>14</v>
      </c>
      <c r="D1798" s="7">
        <v>294</v>
      </c>
      <c r="E1798" s="31">
        <v>26150</v>
      </c>
      <c r="F1798" s="29"/>
      <c r="G1798" s="32">
        <v>45725</v>
      </c>
      <c r="H1798" s="29"/>
      <c r="I1798" s="5" t="s">
        <v>54</v>
      </c>
      <c r="J1798" s="5" t="s">
        <v>16</v>
      </c>
      <c r="K1798" s="5" t="s">
        <v>97</v>
      </c>
    </row>
    <row r="1799" spans="1:11" ht="18.75" customHeight="1" x14ac:dyDescent="0.3">
      <c r="A1799" s="30">
        <v>1817</v>
      </c>
      <c r="B1799" s="29"/>
      <c r="C1799" s="5" t="s">
        <v>14</v>
      </c>
      <c r="D1799" s="7">
        <v>363</v>
      </c>
      <c r="E1799" s="31">
        <v>26154</v>
      </c>
      <c r="F1799" s="29"/>
      <c r="G1799" s="32">
        <v>45726</v>
      </c>
      <c r="H1799" s="29"/>
      <c r="I1799" s="5" t="s">
        <v>54</v>
      </c>
      <c r="J1799" s="5" t="s">
        <v>16</v>
      </c>
      <c r="K1799" s="5" t="s">
        <v>97</v>
      </c>
    </row>
    <row r="1800" spans="1:11" ht="18.75" customHeight="1" x14ac:dyDescent="0.3">
      <c r="A1800" s="30">
        <v>1818</v>
      </c>
      <c r="B1800" s="29"/>
      <c r="C1800" s="5" t="s">
        <v>14</v>
      </c>
      <c r="D1800" s="7">
        <v>287</v>
      </c>
      <c r="E1800" s="31">
        <v>26175</v>
      </c>
      <c r="F1800" s="29"/>
      <c r="G1800" s="32">
        <v>45727</v>
      </c>
      <c r="H1800" s="29"/>
      <c r="I1800" s="5" t="s">
        <v>54</v>
      </c>
      <c r="J1800" s="5" t="s">
        <v>16</v>
      </c>
      <c r="K1800" s="5" t="s">
        <v>97</v>
      </c>
    </row>
    <row r="1801" spans="1:11" ht="18.75" customHeight="1" x14ac:dyDescent="0.3">
      <c r="A1801" s="30">
        <v>1819</v>
      </c>
      <c r="B1801" s="29"/>
      <c r="C1801" s="5" t="s">
        <v>14</v>
      </c>
      <c r="D1801" s="7">
        <v>269</v>
      </c>
      <c r="E1801" s="31">
        <v>26181</v>
      </c>
      <c r="F1801" s="29"/>
      <c r="G1801" s="32">
        <v>45728</v>
      </c>
      <c r="H1801" s="29"/>
      <c r="I1801" s="5" t="s">
        <v>54</v>
      </c>
      <c r="J1801" s="5" t="s">
        <v>16</v>
      </c>
      <c r="K1801" s="5" t="s">
        <v>97</v>
      </c>
    </row>
    <row r="1802" spans="1:11" ht="18.75" customHeight="1" x14ac:dyDescent="0.3">
      <c r="A1802" s="30">
        <v>1820</v>
      </c>
      <c r="B1802" s="29"/>
      <c r="C1802" s="5" t="s">
        <v>14</v>
      </c>
      <c r="D1802" s="7">
        <v>227</v>
      </c>
      <c r="E1802" s="31">
        <v>26193</v>
      </c>
      <c r="F1802" s="29"/>
      <c r="G1802" s="32">
        <v>45729</v>
      </c>
      <c r="H1802" s="29"/>
      <c r="I1802" s="5" t="s">
        <v>54</v>
      </c>
      <c r="J1802" s="5" t="s">
        <v>16</v>
      </c>
      <c r="K1802" s="5" t="s">
        <v>97</v>
      </c>
    </row>
    <row r="1803" spans="1:11" ht="18.75" customHeight="1" x14ac:dyDescent="0.3">
      <c r="A1803" s="30">
        <v>1821</v>
      </c>
      <c r="B1803" s="29"/>
      <c r="C1803" s="5" t="s">
        <v>14</v>
      </c>
      <c r="D1803" s="7">
        <v>420</v>
      </c>
      <c r="E1803" s="31">
        <v>26203</v>
      </c>
      <c r="F1803" s="29"/>
      <c r="G1803" s="32">
        <v>45730</v>
      </c>
      <c r="H1803" s="29"/>
      <c r="I1803" s="5" t="s">
        <v>54</v>
      </c>
      <c r="J1803" s="5" t="s">
        <v>16</v>
      </c>
      <c r="K1803" s="5" t="s">
        <v>97</v>
      </c>
    </row>
    <row r="1804" spans="1:11" ht="18.75" customHeight="1" x14ac:dyDescent="0.3">
      <c r="A1804" s="30">
        <v>1822</v>
      </c>
      <c r="B1804" s="29"/>
      <c r="C1804" s="5" t="s">
        <v>14</v>
      </c>
      <c r="D1804" s="7">
        <v>286</v>
      </c>
      <c r="E1804" s="31">
        <v>26209</v>
      </c>
      <c r="F1804" s="29"/>
      <c r="G1804" s="32">
        <v>45731</v>
      </c>
      <c r="H1804" s="29"/>
      <c r="I1804" s="5" t="s">
        <v>54</v>
      </c>
      <c r="J1804" s="5" t="s">
        <v>16</v>
      </c>
      <c r="K1804" s="5" t="s">
        <v>97</v>
      </c>
    </row>
    <row r="1805" spans="1:11" ht="18.75" customHeight="1" x14ac:dyDescent="0.3">
      <c r="A1805" s="30">
        <v>1823</v>
      </c>
      <c r="B1805" s="29"/>
      <c r="C1805" s="5" t="s">
        <v>14</v>
      </c>
      <c r="D1805" s="7">
        <v>405</v>
      </c>
      <c r="E1805" s="31">
        <v>26155</v>
      </c>
      <c r="F1805" s="29"/>
      <c r="G1805" s="32">
        <v>45726</v>
      </c>
      <c r="H1805" s="29"/>
      <c r="I1805" s="5" t="s">
        <v>98</v>
      </c>
      <c r="J1805" s="5" t="s">
        <v>96</v>
      </c>
      <c r="K1805" s="5" t="s">
        <v>99</v>
      </c>
    </row>
    <row r="1806" spans="1:11" ht="18.75" customHeight="1" x14ac:dyDescent="0.3">
      <c r="A1806" s="30">
        <v>1824</v>
      </c>
      <c r="B1806" s="29"/>
      <c r="C1806" s="5" t="s">
        <v>14</v>
      </c>
      <c r="D1806" s="7">
        <v>354</v>
      </c>
      <c r="E1806" s="31">
        <v>26172</v>
      </c>
      <c r="F1806" s="29"/>
      <c r="G1806" s="32">
        <v>45727</v>
      </c>
      <c r="H1806" s="29"/>
      <c r="I1806" s="5" t="s">
        <v>98</v>
      </c>
      <c r="J1806" s="5" t="s">
        <v>96</v>
      </c>
      <c r="K1806" s="5" t="s">
        <v>99</v>
      </c>
    </row>
    <row r="1807" spans="1:11" ht="18.75" customHeight="1" x14ac:dyDescent="0.3">
      <c r="A1807" s="30">
        <v>1825</v>
      </c>
      <c r="B1807" s="29"/>
      <c r="C1807" s="5" t="s">
        <v>14</v>
      </c>
      <c r="D1807" s="7">
        <v>336</v>
      </c>
      <c r="E1807" s="31">
        <v>26182</v>
      </c>
      <c r="F1807" s="29"/>
      <c r="G1807" s="32">
        <v>45728</v>
      </c>
      <c r="H1807" s="29"/>
      <c r="I1807" s="5" t="s">
        <v>98</v>
      </c>
      <c r="J1807" s="5" t="s">
        <v>96</v>
      </c>
      <c r="K1807" s="5" t="s">
        <v>99</v>
      </c>
    </row>
    <row r="1808" spans="1:11" ht="18.75" customHeight="1" x14ac:dyDescent="0.3">
      <c r="A1808" s="30">
        <v>1826</v>
      </c>
      <c r="B1808" s="29"/>
      <c r="C1808" s="5" t="s">
        <v>14</v>
      </c>
      <c r="D1808" s="7">
        <v>275</v>
      </c>
      <c r="E1808" s="31">
        <v>26192</v>
      </c>
      <c r="F1808" s="29"/>
      <c r="G1808" s="32">
        <v>45729</v>
      </c>
      <c r="H1808" s="29"/>
      <c r="I1808" s="5" t="s">
        <v>98</v>
      </c>
      <c r="J1808" s="5" t="s">
        <v>96</v>
      </c>
      <c r="K1808" s="5" t="s">
        <v>99</v>
      </c>
    </row>
    <row r="1809" spans="1:12" ht="18.75" customHeight="1" x14ac:dyDescent="0.3">
      <c r="A1809" s="30">
        <v>1827</v>
      </c>
      <c r="B1809" s="29"/>
      <c r="C1809" s="5" t="s">
        <v>14</v>
      </c>
      <c r="D1809" s="7">
        <v>349</v>
      </c>
      <c r="E1809" s="31">
        <v>26201</v>
      </c>
      <c r="F1809" s="29"/>
      <c r="G1809" s="32">
        <v>45730</v>
      </c>
      <c r="H1809" s="29"/>
      <c r="I1809" s="5" t="s">
        <v>98</v>
      </c>
      <c r="J1809" s="5" t="s">
        <v>96</v>
      </c>
      <c r="K1809" s="5" t="s">
        <v>99</v>
      </c>
    </row>
    <row r="1810" spans="1:12" ht="18.75" customHeight="1" x14ac:dyDescent="0.3">
      <c r="A1810" s="30">
        <v>1828</v>
      </c>
      <c r="B1810" s="29"/>
      <c r="C1810" s="5" t="s">
        <v>14</v>
      </c>
      <c r="D1810" s="7">
        <v>256</v>
      </c>
      <c r="E1810" s="31">
        <v>26210</v>
      </c>
      <c r="F1810" s="29"/>
      <c r="G1810" s="32">
        <v>45731</v>
      </c>
      <c r="H1810" s="29"/>
      <c r="I1810" s="5" t="s">
        <v>98</v>
      </c>
      <c r="J1810" s="5" t="s">
        <v>96</v>
      </c>
      <c r="K1810" s="5" t="s">
        <v>99</v>
      </c>
    </row>
    <row r="1811" spans="1:12" ht="18.75" customHeight="1" x14ac:dyDescent="0.3">
      <c r="A1811" s="30">
        <v>1829</v>
      </c>
      <c r="B1811" s="29"/>
      <c r="C1811" s="5" t="s">
        <v>14</v>
      </c>
      <c r="D1811" s="7">
        <v>347</v>
      </c>
      <c r="E1811" s="31">
        <v>26156</v>
      </c>
      <c r="F1811" s="29"/>
      <c r="G1811" s="32">
        <v>45726</v>
      </c>
      <c r="H1811" s="29"/>
      <c r="I1811" s="5" t="s">
        <v>28</v>
      </c>
      <c r="J1811" s="5" t="s">
        <v>66</v>
      </c>
      <c r="K1811" s="5" t="s">
        <v>30</v>
      </c>
    </row>
    <row r="1812" spans="1:12" ht="18.75" customHeight="1" x14ac:dyDescent="0.3">
      <c r="A1812" s="30">
        <v>1830</v>
      </c>
      <c r="B1812" s="29"/>
      <c r="C1812" s="5" t="s">
        <v>14</v>
      </c>
      <c r="D1812" s="7">
        <v>319</v>
      </c>
      <c r="E1812" s="31">
        <v>26168</v>
      </c>
      <c r="F1812" s="29"/>
      <c r="G1812" s="32">
        <v>45727</v>
      </c>
      <c r="H1812" s="29"/>
      <c r="I1812" s="5" t="s">
        <v>28</v>
      </c>
      <c r="J1812" s="5" t="s">
        <v>66</v>
      </c>
      <c r="K1812" s="5" t="s">
        <v>30</v>
      </c>
    </row>
    <row r="1813" spans="1:12" ht="18.75" customHeight="1" x14ac:dyDescent="0.3">
      <c r="A1813" s="30">
        <v>1831</v>
      </c>
      <c r="B1813" s="29"/>
      <c r="C1813" s="5" t="s">
        <v>14</v>
      </c>
      <c r="D1813" s="7">
        <v>510</v>
      </c>
      <c r="E1813" s="31">
        <v>26183</v>
      </c>
      <c r="F1813" s="29"/>
      <c r="G1813" s="32">
        <v>45728</v>
      </c>
      <c r="H1813" s="29"/>
      <c r="I1813" s="5" t="s">
        <v>28</v>
      </c>
      <c r="J1813" s="5" t="s">
        <v>66</v>
      </c>
      <c r="K1813" s="5" t="s">
        <v>30</v>
      </c>
    </row>
    <row r="1814" spans="1:12" ht="18.75" customHeight="1" x14ac:dyDescent="0.3">
      <c r="A1814" s="30">
        <v>1832</v>
      </c>
      <c r="B1814" s="29"/>
      <c r="C1814" s="5" t="s">
        <v>14</v>
      </c>
      <c r="D1814" s="7">
        <v>281</v>
      </c>
      <c r="E1814" s="31">
        <v>26190</v>
      </c>
      <c r="F1814" s="29"/>
      <c r="G1814" s="32">
        <v>45729</v>
      </c>
      <c r="H1814" s="29"/>
      <c r="I1814" s="5" t="s">
        <v>28</v>
      </c>
      <c r="J1814" s="5" t="s">
        <v>66</v>
      </c>
      <c r="K1814" s="5" t="s">
        <v>30</v>
      </c>
    </row>
    <row r="1815" spans="1:12" ht="18.75" customHeight="1" x14ac:dyDescent="0.3">
      <c r="A1815" s="30">
        <v>1833</v>
      </c>
      <c r="B1815" s="29"/>
      <c r="C1815" s="5" t="s">
        <v>14</v>
      </c>
      <c r="D1815" s="7">
        <v>503</v>
      </c>
      <c r="E1815" s="31">
        <v>26200</v>
      </c>
      <c r="F1815" s="29"/>
      <c r="G1815" s="32">
        <v>45730</v>
      </c>
      <c r="H1815" s="29"/>
      <c r="I1815" s="5" t="s">
        <v>28</v>
      </c>
      <c r="J1815" s="5" t="s">
        <v>66</v>
      </c>
      <c r="K1815" s="5" t="s">
        <v>30</v>
      </c>
    </row>
    <row r="1816" spans="1:12" ht="18.75" customHeight="1" x14ac:dyDescent="0.3">
      <c r="A1816" s="30">
        <v>1834</v>
      </c>
      <c r="B1816" s="29"/>
      <c r="C1816" s="5" t="s">
        <v>14</v>
      </c>
      <c r="D1816" s="7">
        <v>250</v>
      </c>
      <c r="E1816" s="31">
        <v>26208</v>
      </c>
      <c r="F1816" s="29"/>
      <c r="G1816" s="32">
        <v>45731</v>
      </c>
      <c r="H1816" s="29"/>
      <c r="I1816" s="5" t="s">
        <v>28</v>
      </c>
      <c r="J1816" s="5" t="s">
        <v>66</v>
      </c>
      <c r="K1816" s="5" t="s">
        <v>30</v>
      </c>
    </row>
    <row r="1817" spans="1:12" ht="18.75" customHeight="1" x14ac:dyDescent="0.3">
      <c r="A1817" s="30">
        <v>1835</v>
      </c>
      <c r="B1817" s="29"/>
      <c r="C1817" s="5" t="s">
        <v>40</v>
      </c>
      <c r="D1817" s="7">
        <v>523</v>
      </c>
      <c r="E1817" s="31">
        <v>137551</v>
      </c>
      <c r="F1817" s="29"/>
      <c r="G1817" s="32">
        <v>45726</v>
      </c>
      <c r="H1817" s="29"/>
      <c r="I1817" s="5" t="s">
        <v>15</v>
      </c>
      <c r="J1817" s="5" t="s">
        <v>30</v>
      </c>
      <c r="K1817" s="5"/>
      <c r="L1817" t="s">
        <v>87</v>
      </c>
    </row>
    <row r="1818" spans="1:12" ht="18.75" customHeight="1" x14ac:dyDescent="0.3">
      <c r="A1818" s="30">
        <v>1836</v>
      </c>
      <c r="B1818" s="29"/>
      <c r="C1818" s="5" t="s">
        <v>40</v>
      </c>
      <c r="D1818" s="7">
        <v>480</v>
      </c>
      <c r="E1818" s="31">
        <v>139402</v>
      </c>
      <c r="F1818" s="29"/>
      <c r="G1818" s="32">
        <v>45727</v>
      </c>
      <c r="H1818" s="29"/>
      <c r="I1818" s="5" t="s">
        <v>15</v>
      </c>
      <c r="J1818" s="5" t="s">
        <v>30</v>
      </c>
      <c r="K1818" s="5"/>
      <c r="L1818" t="s">
        <v>42</v>
      </c>
    </row>
    <row r="1819" spans="1:12" ht="18.75" customHeight="1" x14ac:dyDescent="0.3">
      <c r="A1819" s="30">
        <v>1837</v>
      </c>
      <c r="B1819" s="29"/>
      <c r="C1819" s="5" t="s">
        <v>40</v>
      </c>
      <c r="D1819" s="7">
        <v>662</v>
      </c>
      <c r="E1819" s="31">
        <v>141484</v>
      </c>
      <c r="F1819" s="29"/>
      <c r="G1819" s="32">
        <v>45728</v>
      </c>
      <c r="H1819" s="29"/>
      <c r="I1819" s="5" t="s">
        <v>15</v>
      </c>
      <c r="J1819" s="5" t="s">
        <v>30</v>
      </c>
      <c r="K1819" s="5"/>
      <c r="L1819" t="s">
        <v>44</v>
      </c>
    </row>
    <row r="1820" spans="1:12" ht="18.75" customHeight="1" x14ac:dyDescent="0.3">
      <c r="A1820" s="30">
        <v>1838</v>
      </c>
      <c r="B1820" s="29"/>
      <c r="C1820" s="5" t="s">
        <v>40</v>
      </c>
      <c r="D1820" s="7">
        <v>520</v>
      </c>
      <c r="E1820" s="31">
        <v>137555</v>
      </c>
      <c r="F1820" s="29"/>
      <c r="G1820" s="32">
        <v>45728</v>
      </c>
      <c r="H1820" s="29"/>
      <c r="I1820" s="5" t="s">
        <v>15</v>
      </c>
      <c r="J1820" s="5" t="s">
        <v>30</v>
      </c>
      <c r="K1820" s="5"/>
      <c r="L1820" t="s">
        <v>43</v>
      </c>
    </row>
    <row r="1821" spans="1:12" ht="18.75" customHeight="1" x14ac:dyDescent="0.3">
      <c r="A1821" s="30">
        <v>1839</v>
      </c>
      <c r="B1821" s="29"/>
      <c r="C1821" s="5" t="s">
        <v>40</v>
      </c>
      <c r="D1821" s="7">
        <v>538</v>
      </c>
      <c r="E1821" s="31">
        <v>137557</v>
      </c>
      <c r="F1821" s="29"/>
      <c r="G1821" s="32">
        <v>45729</v>
      </c>
      <c r="H1821" s="29"/>
      <c r="I1821" s="5" t="s">
        <v>15</v>
      </c>
      <c r="J1821" s="5" t="s">
        <v>30</v>
      </c>
      <c r="K1821" s="5"/>
      <c r="L1821" t="s">
        <v>43</v>
      </c>
    </row>
    <row r="1822" spans="1:12" ht="18.75" customHeight="1" x14ac:dyDescent="0.3">
      <c r="A1822" s="30">
        <v>1840</v>
      </c>
      <c r="B1822" s="29"/>
      <c r="C1822" s="5" t="s">
        <v>40</v>
      </c>
      <c r="D1822" s="7">
        <v>520</v>
      </c>
      <c r="E1822" s="31">
        <v>137564</v>
      </c>
      <c r="F1822" s="29"/>
      <c r="G1822" s="32">
        <v>45730</v>
      </c>
      <c r="H1822" s="29"/>
      <c r="I1822" s="5" t="s">
        <v>15</v>
      </c>
      <c r="J1822" s="5" t="s">
        <v>30</v>
      </c>
      <c r="K1822" s="5"/>
      <c r="L1822" t="s">
        <v>43</v>
      </c>
    </row>
    <row r="1823" spans="1:12" ht="18.75" customHeight="1" x14ac:dyDescent="0.3">
      <c r="A1823" s="30">
        <v>1841</v>
      </c>
      <c r="B1823" s="29"/>
      <c r="C1823" s="5" t="s">
        <v>40</v>
      </c>
      <c r="D1823" s="7">
        <v>487</v>
      </c>
      <c r="E1823" s="31">
        <v>137561</v>
      </c>
      <c r="F1823" s="29"/>
      <c r="G1823" s="32">
        <v>45730</v>
      </c>
      <c r="H1823" s="29"/>
      <c r="I1823" s="5" t="s">
        <v>15</v>
      </c>
      <c r="J1823" s="5" t="s">
        <v>30</v>
      </c>
      <c r="K1823" s="5"/>
      <c r="L1823" t="s">
        <v>43</v>
      </c>
    </row>
    <row r="1824" spans="1:12" ht="18.75" customHeight="1" x14ac:dyDescent="0.3">
      <c r="A1824" s="30">
        <v>1842</v>
      </c>
      <c r="B1824" s="29"/>
      <c r="C1824" s="5" t="s">
        <v>40</v>
      </c>
      <c r="D1824" s="7">
        <v>548</v>
      </c>
      <c r="E1824" s="31">
        <v>139411</v>
      </c>
      <c r="F1824" s="29"/>
      <c r="G1824" s="32">
        <v>45731</v>
      </c>
      <c r="H1824" s="29"/>
      <c r="I1824" s="5" t="s">
        <v>15</v>
      </c>
      <c r="J1824" s="5" t="s">
        <v>30</v>
      </c>
      <c r="K1824" s="5"/>
      <c r="L1824" t="s">
        <v>42</v>
      </c>
    </row>
    <row r="1825" spans="1:12" ht="18.75" customHeight="1" x14ac:dyDescent="0.3">
      <c r="A1825" s="30">
        <v>1843</v>
      </c>
      <c r="B1825" s="29"/>
      <c r="C1825" s="5" t="s">
        <v>40</v>
      </c>
      <c r="D1825" s="7">
        <v>675</v>
      </c>
      <c r="E1825" s="31">
        <v>141476</v>
      </c>
      <c r="F1825" s="29"/>
      <c r="G1825" s="32">
        <v>45725</v>
      </c>
      <c r="H1825" s="29"/>
      <c r="I1825" s="5" t="s">
        <v>28</v>
      </c>
      <c r="J1825" s="5" t="s">
        <v>66</v>
      </c>
      <c r="K1825" s="5"/>
      <c r="L1825" t="s">
        <v>44</v>
      </c>
    </row>
    <row r="1826" spans="1:12" ht="18.75" customHeight="1" x14ac:dyDescent="0.3">
      <c r="A1826" s="30">
        <v>1844</v>
      </c>
      <c r="B1826" s="29"/>
      <c r="C1826" s="5" t="s">
        <v>40</v>
      </c>
      <c r="D1826" s="7">
        <v>520</v>
      </c>
      <c r="E1826" s="31">
        <v>138999</v>
      </c>
      <c r="F1826" s="29"/>
      <c r="G1826" s="32">
        <v>45726</v>
      </c>
      <c r="H1826" s="29"/>
      <c r="I1826" s="5" t="s">
        <v>28</v>
      </c>
      <c r="J1826" s="5" t="s">
        <v>66</v>
      </c>
      <c r="K1826" s="5"/>
      <c r="L1826" t="s">
        <v>42</v>
      </c>
    </row>
    <row r="1827" spans="1:12" ht="18.75" customHeight="1" x14ac:dyDescent="0.3">
      <c r="A1827" s="30">
        <v>1845</v>
      </c>
      <c r="B1827" s="29"/>
      <c r="C1827" s="5" t="s">
        <v>40</v>
      </c>
      <c r="D1827" s="7">
        <v>484</v>
      </c>
      <c r="E1827" s="31">
        <v>138722</v>
      </c>
      <c r="F1827" s="29"/>
      <c r="G1827" s="32">
        <v>45727</v>
      </c>
      <c r="H1827" s="29"/>
      <c r="I1827" s="5" t="s">
        <v>28</v>
      </c>
      <c r="J1827" s="5" t="s">
        <v>66</v>
      </c>
      <c r="K1827" s="5"/>
      <c r="L1827" t="s">
        <v>41</v>
      </c>
    </row>
    <row r="1828" spans="1:12" ht="18.75" customHeight="1" x14ac:dyDescent="0.3">
      <c r="A1828" s="30">
        <v>1846</v>
      </c>
      <c r="B1828" s="29"/>
      <c r="C1828" s="5" t="s">
        <v>40</v>
      </c>
      <c r="D1828" s="7">
        <v>520</v>
      </c>
      <c r="E1828" s="31">
        <v>137554</v>
      </c>
      <c r="F1828" s="29"/>
      <c r="G1828" s="32">
        <v>45728</v>
      </c>
      <c r="H1828" s="29"/>
      <c r="I1828" s="5" t="s">
        <v>28</v>
      </c>
      <c r="J1828" s="5" t="s">
        <v>66</v>
      </c>
      <c r="K1828" s="5"/>
      <c r="L1828" t="s">
        <v>43</v>
      </c>
    </row>
    <row r="1829" spans="1:12" ht="18.75" customHeight="1" x14ac:dyDescent="0.3">
      <c r="A1829" s="30">
        <v>1847</v>
      </c>
      <c r="B1829" s="29"/>
      <c r="C1829" s="5" t="s">
        <v>40</v>
      </c>
      <c r="D1829" s="7">
        <v>503</v>
      </c>
      <c r="E1829" s="31">
        <v>137560</v>
      </c>
      <c r="F1829" s="29"/>
      <c r="G1829" s="32">
        <v>45729</v>
      </c>
      <c r="H1829" s="29"/>
      <c r="I1829" s="5" t="s">
        <v>28</v>
      </c>
      <c r="J1829" s="5" t="s">
        <v>66</v>
      </c>
      <c r="K1829" s="5"/>
      <c r="L1829" t="s">
        <v>43</v>
      </c>
    </row>
    <row r="1830" spans="1:12" ht="18.75" customHeight="1" x14ac:dyDescent="0.3">
      <c r="A1830" s="30">
        <v>1848</v>
      </c>
      <c r="B1830" s="29"/>
      <c r="C1830" s="5" t="s">
        <v>40</v>
      </c>
      <c r="D1830" s="7">
        <v>700</v>
      </c>
      <c r="E1830" s="31">
        <v>141489</v>
      </c>
      <c r="F1830" s="29"/>
      <c r="G1830" s="32">
        <v>45731</v>
      </c>
      <c r="H1830" s="29"/>
      <c r="I1830" s="5" t="s">
        <v>28</v>
      </c>
      <c r="J1830" s="5" t="s">
        <v>66</v>
      </c>
      <c r="K1830" s="5"/>
      <c r="L1830" t="s">
        <v>44</v>
      </c>
    </row>
    <row r="1831" spans="1:12" ht="18.75" customHeight="1" x14ac:dyDescent="0.3">
      <c r="A1831" s="30">
        <v>1849</v>
      </c>
      <c r="B1831" s="29"/>
      <c r="C1831" s="5" t="s">
        <v>40</v>
      </c>
      <c r="D1831" s="7">
        <v>451</v>
      </c>
      <c r="E1831" s="31">
        <v>138651</v>
      </c>
      <c r="F1831" s="29"/>
      <c r="G1831" s="32">
        <v>45732</v>
      </c>
      <c r="H1831" s="29"/>
      <c r="I1831" s="5" t="s">
        <v>15</v>
      </c>
      <c r="J1831" s="5" t="s">
        <v>30</v>
      </c>
      <c r="K1831" s="5"/>
      <c r="L1831" t="s">
        <v>41</v>
      </c>
    </row>
    <row r="1832" spans="1:12" ht="18.75" customHeight="1" x14ac:dyDescent="0.3">
      <c r="A1832" s="30">
        <v>1850</v>
      </c>
      <c r="B1832" s="29"/>
      <c r="C1832" s="5" t="s">
        <v>40</v>
      </c>
      <c r="D1832" s="7">
        <v>560</v>
      </c>
      <c r="E1832" s="31">
        <v>141490</v>
      </c>
      <c r="F1832" s="29"/>
      <c r="G1832" s="32">
        <v>45733</v>
      </c>
      <c r="H1832" s="29"/>
      <c r="I1832" s="5" t="s">
        <v>15</v>
      </c>
      <c r="J1832" s="5" t="s">
        <v>30</v>
      </c>
      <c r="K1832" s="5"/>
      <c r="L1832" t="s">
        <v>44</v>
      </c>
    </row>
    <row r="1833" spans="1:12" ht="18.75" customHeight="1" x14ac:dyDescent="0.3">
      <c r="A1833" s="30">
        <v>1851</v>
      </c>
      <c r="B1833" s="29"/>
      <c r="C1833" s="5" t="s">
        <v>40</v>
      </c>
      <c r="D1833" s="7">
        <v>708</v>
      </c>
      <c r="E1833" s="31">
        <v>141493</v>
      </c>
      <c r="F1833" s="29"/>
      <c r="G1833" s="32">
        <v>45734</v>
      </c>
      <c r="H1833" s="29"/>
      <c r="I1833" s="5" t="s">
        <v>15</v>
      </c>
      <c r="J1833" s="5" t="s">
        <v>30</v>
      </c>
      <c r="K1833" s="5"/>
      <c r="L1833" t="s">
        <v>44</v>
      </c>
    </row>
    <row r="1834" spans="1:12" ht="18.75" customHeight="1" x14ac:dyDescent="0.3">
      <c r="A1834" s="30">
        <v>1852</v>
      </c>
      <c r="B1834" s="29"/>
      <c r="C1834" s="5" t="s">
        <v>40</v>
      </c>
      <c r="D1834" s="7">
        <v>520</v>
      </c>
      <c r="E1834" s="31">
        <v>137565</v>
      </c>
      <c r="F1834" s="29"/>
      <c r="G1834" s="32">
        <v>45735</v>
      </c>
      <c r="H1834" s="29"/>
      <c r="I1834" s="5" t="s">
        <v>15</v>
      </c>
      <c r="J1834" s="5" t="s">
        <v>30</v>
      </c>
      <c r="K1834" s="5"/>
      <c r="L1834" t="s">
        <v>87</v>
      </c>
    </row>
    <row r="1835" spans="1:12" ht="18.75" customHeight="1" x14ac:dyDescent="0.3">
      <c r="A1835" s="30">
        <v>1853</v>
      </c>
      <c r="B1835" s="29"/>
      <c r="C1835" s="5" t="s">
        <v>40</v>
      </c>
      <c r="D1835" s="7">
        <v>640</v>
      </c>
      <c r="E1835" s="31">
        <v>137569</v>
      </c>
      <c r="F1835" s="29"/>
      <c r="G1835" s="32">
        <v>45736</v>
      </c>
      <c r="H1835" s="29"/>
      <c r="I1835" s="5" t="s">
        <v>15</v>
      </c>
      <c r="J1835" s="5" t="s">
        <v>30</v>
      </c>
      <c r="K1835" s="5"/>
      <c r="L1835" t="s">
        <v>43</v>
      </c>
    </row>
    <row r="1836" spans="1:12" ht="18.75" customHeight="1" x14ac:dyDescent="0.3">
      <c r="A1836" s="30">
        <v>1854</v>
      </c>
      <c r="B1836" s="29"/>
      <c r="C1836" s="5" t="s">
        <v>40</v>
      </c>
      <c r="D1836" s="7">
        <v>640</v>
      </c>
      <c r="E1836" s="31">
        <v>137572</v>
      </c>
      <c r="F1836" s="29"/>
      <c r="G1836" s="32">
        <v>45737</v>
      </c>
      <c r="H1836" s="29"/>
      <c r="I1836" s="5" t="s">
        <v>15</v>
      </c>
      <c r="J1836" s="5" t="s">
        <v>30</v>
      </c>
      <c r="K1836" s="5"/>
      <c r="L1836" t="s">
        <v>43</v>
      </c>
    </row>
    <row r="1837" spans="1:12" ht="18.75" customHeight="1" x14ac:dyDescent="0.3">
      <c r="A1837" s="30">
        <v>1855</v>
      </c>
      <c r="B1837" s="29"/>
      <c r="C1837" s="5" t="s">
        <v>40</v>
      </c>
      <c r="D1837" s="7">
        <v>640</v>
      </c>
      <c r="E1837" s="31">
        <v>137580</v>
      </c>
      <c r="F1837" s="29"/>
      <c r="G1837" s="32">
        <v>45738</v>
      </c>
      <c r="H1837" s="29"/>
      <c r="I1837" s="5" t="s">
        <v>15</v>
      </c>
      <c r="J1837" s="5" t="s">
        <v>30</v>
      </c>
      <c r="K1837" s="5"/>
      <c r="L1837" t="s">
        <v>43</v>
      </c>
    </row>
    <row r="1838" spans="1:12" ht="18.75" customHeight="1" x14ac:dyDescent="0.3">
      <c r="A1838" s="30">
        <v>1856</v>
      </c>
      <c r="B1838" s="29"/>
      <c r="C1838" s="5" t="s">
        <v>40</v>
      </c>
      <c r="D1838" s="7">
        <v>692</v>
      </c>
      <c r="E1838" s="31">
        <v>141492</v>
      </c>
      <c r="F1838" s="29"/>
      <c r="G1838" s="32">
        <v>45368</v>
      </c>
      <c r="H1838" s="29"/>
      <c r="I1838" s="5" t="s">
        <v>28</v>
      </c>
      <c r="J1838" s="5" t="s">
        <v>66</v>
      </c>
      <c r="K1838" s="5"/>
      <c r="L1838" t="s">
        <v>44</v>
      </c>
    </row>
    <row r="1839" spans="1:12" ht="18.75" customHeight="1" x14ac:dyDescent="0.3">
      <c r="A1839" s="30">
        <v>1857</v>
      </c>
      <c r="B1839" s="29"/>
      <c r="C1839" s="5" t="s">
        <v>40</v>
      </c>
      <c r="D1839" s="7">
        <v>528</v>
      </c>
      <c r="E1839" s="31">
        <v>138666</v>
      </c>
      <c r="F1839" s="29"/>
      <c r="G1839" s="32">
        <v>45369</v>
      </c>
      <c r="H1839" s="29"/>
      <c r="I1839" s="5" t="s">
        <v>28</v>
      </c>
      <c r="J1839" s="5" t="s">
        <v>66</v>
      </c>
      <c r="K1839" s="5"/>
      <c r="L1839" t="s">
        <v>41</v>
      </c>
    </row>
    <row r="1840" spans="1:12" ht="18.75" customHeight="1" x14ac:dyDescent="0.3">
      <c r="A1840" s="30">
        <v>1858</v>
      </c>
      <c r="B1840" s="29"/>
      <c r="C1840" s="5" t="s">
        <v>40</v>
      </c>
      <c r="D1840" s="7">
        <v>260</v>
      </c>
      <c r="E1840" s="31">
        <v>137570</v>
      </c>
      <c r="F1840" s="29"/>
      <c r="G1840" s="32">
        <v>45371</v>
      </c>
      <c r="H1840" s="29"/>
      <c r="I1840" s="5" t="s">
        <v>28</v>
      </c>
      <c r="J1840" s="5" t="s">
        <v>66</v>
      </c>
      <c r="K1840" s="5"/>
      <c r="L1840" t="s">
        <v>43</v>
      </c>
    </row>
    <row r="1841" spans="1:12" ht="18.75" customHeight="1" x14ac:dyDescent="0.3">
      <c r="A1841" s="30">
        <v>1859</v>
      </c>
      <c r="B1841" s="29"/>
      <c r="C1841" s="5" t="s">
        <v>40</v>
      </c>
      <c r="D1841" s="7">
        <v>260</v>
      </c>
      <c r="E1841" s="31">
        <v>137575</v>
      </c>
      <c r="F1841" s="29"/>
      <c r="G1841" s="32">
        <v>45372</v>
      </c>
      <c r="H1841" s="29"/>
      <c r="I1841" s="5" t="s">
        <v>28</v>
      </c>
      <c r="J1841" s="5" t="s">
        <v>66</v>
      </c>
      <c r="K1841" s="5"/>
      <c r="L1841" t="s">
        <v>43</v>
      </c>
    </row>
    <row r="1842" spans="1:12" ht="18.75" customHeight="1" x14ac:dyDescent="0.3">
      <c r="A1842" s="30">
        <v>1860</v>
      </c>
      <c r="B1842" s="29"/>
      <c r="C1842" s="5" t="s">
        <v>40</v>
      </c>
      <c r="D1842" s="7">
        <v>260</v>
      </c>
      <c r="E1842" s="31">
        <v>137579</v>
      </c>
      <c r="F1842" s="29"/>
      <c r="G1842" s="32">
        <v>45373</v>
      </c>
      <c r="H1842" s="29"/>
      <c r="I1842" s="5" t="s">
        <v>28</v>
      </c>
      <c r="J1842" s="5" t="s">
        <v>66</v>
      </c>
      <c r="K1842" s="5"/>
      <c r="L1842" t="s">
        <v>43</v>
      </c>
    </row>
    <row r="1843" spans="1:12" ht="18.75" customHeight="1" x14ac:dyDescent="0.3">
      <c r="A1843" s="30">
        <v>1861</v>
      </c>
      <c r="B1843" s="29"/>
      <c r="C1843" s="5" t="s">
        <v>14</v>
      </c>
      <c r="D1843" s="7">
        <v>253</v>
      </c>
      <c r="E1843" s="31">
        <v>26215</v>
      </c>
      <c r="F1843" s="29"/>
      <c r="G1843" s="32">
        <v>45732</v>
      </c>
      <c r="H1843" s="29"/>
      <c r="I1843" s="5" t="s">
        <v>54</v>
      </c>
      <c r="J1843" s="5" t="s">
        <v>16</v>
      </c>
      <c r="K1843" s="5" t="s">
        <v>97</v>
      </c>
    </row>
    <row r="1844" spans="1:12" ht="18.75" customHeight="1" x14ac:dyDescent="0.3">
      <c r="A1844" s="30">
        <v>1862</v>
      </c>
      <c r="B1844" s="29"/>
      <c r="C1844" s="5" t="s">
        <v>14</v>
      </c>
      <c r="D1844" s="7">
        <v>273</v>
      </c>
      <c r="E1844" s="31">
        <v>26224</v>
      </c>
      <c r="F1844" s="29"/>
      <c r="G1844" s="32">
        <v>45733</v>
      </c>
      <c r="H1844" s="29"/>
      <c r="I1844" s="5" t="s">
        <v>54</v>
      </c>
      <c r="J1844" s="5" t="s">
        <v>16</v>
      </c>
      <c r="K1844" s="5" t="s">
        <v>97</v>
      </c>
    </row>
    <row r="1845" spans="1:12" ht="18.75" customHeight="1" x14ac:dyDescent="0.3">
      <c r="A1845" s="30">
        <v>1863</v>
      </c>
      <c r="B1845" s="29"/>
      <c r="C1845" s="5" t="s">
        <v>14</v>
      </c>
      <c r="D1845" s="7">
        <v>274</v>
      </c>
      <c r="E1845" s="31">
        <v>26236</v>
      </c>
      <c r="F1845" s="29"/>
      <c r="G1845" s="32">
        <v>45734</v>
      </c>
      <c r="H1845" s="29"/>
      <c r="I1845" s="5" t="s">
        <v>54</v>
      </c>
      <c r="J1845" s="5" t="s">
        <v>16</v>
      </c>
      <c r="K1845" s="5" t="s">
        <v>97</v>
      </c>
    </row>
    <row r="1846" spans="1:12" ht="18.75" customHeight="1" x14ac:dyDescent="0.3">
      <c r="A1846" s="30">
        <v>1864</v>
      </c>
      <c r="B1846" s="29"/>
      <c r="C1846" s="5" t="s">
        <v>14</v>
      </c>
      <c r="D1846" s="7">
        <v>301</v>
      </c>
      <c r="E1846" s="31">
        <v>26259</v>
      </c>
      <c r="F1846" s="29"/>
      <c r="G1846" s="32">
        <v>45735</v>
      </c>
      <c r="H1846" s="29"/>
      <c r="I1846" s="5" t="s">
        <v>54</v>
      </c>
      <c r="J1846" s="5" t="s">
        <v>16</v>
      </c>
      <c r="K1846" s="5" t="s">
        <v>97</v>
      </c>
    </row>
    <row r="1847" spans="1:12" ht="18.75" customHeight="1" x14ac:dyDescent="0.3">
      <c r="A1847" s="30">
        <v>1865</v>
      </c>
      <c r="B1847" s="29"/>
      <c r="C1847" s="5" t="s">
        <v>14</v>
      </c>
      <c r="D1847" s="7">
        <v>225</v>
      </c>
      <c r="E1847" s="31">
        <v>26279</v>
      </c>
      <c r="F1847" s="29"/>
      <c r="G1847" s="32">
        <v>45737</v>
      </c>
      <c r="H1847" s="29"/>
      <c r="I1847" s="5" t="s">
        <v>54</v>
      </c>
      <c r="J1847" s="5" t="s">
        <v>16</v>
      </c>
      <c r="K1847" s="5" t="s">
        <v>97</v>
      </c>
    </row>
    <row r="1848" spans="1:12" ht="18.75" customHeight="1" x14ac:dyDescent="0.3">
      <c r="A1848" s="30">
        <v>1866</v>
      </c>
      <c r="B1848" s="29"/>
      <c r="C1848" s="5" t="s">
        <v>14</v>
      </c>
      <c r="D1848" s="7">
        <v>216</v>
      </c>
      <c r="E1848" s="31">
        <v>26286</v>
      </c>
      <c r="F1848" s="29"/>
      <c r="G1848" s="32">
        <v>45738</v>
      </c>
      <c r="H1848" s="29"/>
      <c r="I1848" s="5" t="s">
        <v>54</v>
      </c>
      <c r="J1848" s="5" t="s">
        <v>16</v>
      </c>
      <c r="K1848" s="5" t="s">
        <v>97</v>
      </c>
    </row>
    <row r="1849" spans="1:12" ht="18.75" customHeight="1" x14ac:dyDescent="0.3">
      <c r="A1849" s="30">
        <v>1867</v>
      </c>
      <c r="B1849" s="29"/>
      <c r="C1849" s="5" t="s">
        <v>14</v>
      </c>
      <c r="D1849" s="7">
        <v>447</v>
      </c>
      <c r="E1849" s="31">
        <v>26223</v>
      </c>
      <c r="F1849" s="29"/>
      <c r="G1849" s="32">
        <v>45733</v>
      </c>
      <c r="H1849" s="29"/>
      <c r="I1849" s="5" t="s">
        <v>98</v>
      </c>
      <c r="J1849" s="5" t="s">
        <v>96</v>
      </c>
      <c r="K1849" s="5" t="s">
        <v>99</v>
      </c>
    </row>
    <row r="1850" spans="1:12" ht="18.75" customHeight="1" x14ac:dyDescent="0.3">
      <c r="A1850" s="30">
        <v>1868</v>
      </c>
      <c r="B1850" s="29"/>
      <c r="C1850" s="5" t="s">
        <v>14</v>
      </c>
      <c r="D1850" s="7">
        <v>303</v>
      </c>
      <c r="E1850" s="31">
        <v>26255</v>
      </c>
      <c r="F1850" s="29"/>
      <c r="G1850" s="32">
        <v>45734</v>
      </c>
      <c r="H1850" s="29"/>
      <c r="I1850" s="5" t="s">
        <v>98</v>
      </c>
      <c r="J1850" s="5" t="s">
        <v>96</v>
      </c>
      <c r="K1850" s="5" t="s">
        <v>99</v>
      </c>
    </row>
    <row r="1851" spans="1:12" ht="18.75" customHeight="1" x14ac:dyDescent="0.3">
      <c r="A1851" s="30">
        <v>1869</v>
      </c>
      <c r="B1851" s="29"/>
      <c r="C1851" s="5" t="s">
        <v>14</v>
      </c>
      <c r="D1851" s="7">
        <v>338</v>
      </c>
      <c r="E1851" s="31">
        <v>26271</v>
      </c>
      <c r="F1851" s="29"/>
      <c r="G1851" s="32">
        <v>45736</v>
      </c>
      <c r="H1851" s="29"/>
      <c r="I1851" s="5" t="s">
        <v>98</v>
      </c>
      <c r="J1851" s="5" t="s">
        <v>96</v>
      </c>
      <c r="K1851" s="5" t="s">
        <v>99</v>
      </c>
    </row>
    <row r="1852" spans="1:12" ht="18.75" customHeight="1" x14ac:dyDescent="0.3">
      <c r="A1852" s="30">
        <v>1870</v>
      </c>
      <c r="B1852" s="29"/>
      <c r="C1852" s="5" t="s">
        <v>14</v>
      </c>
      <c r="D1852" s="7">
        <v>354</v>
      </c>
      <c r="E1852" s="31">
        <v>26275</v>
      </c>
      <c r="F1852" s="29"/>
      <c r="G1852" s="32">
        <v>45737</v>
      </c>
      <c r="H1852" s="29"/>
      <c r="I1852" s="5" t="s">
        <v>98</v>
      </c>
      <c r="J1852" s="5" t="s">
        <v>96</v>
      </c>
      <c r="K1852" s="5" t="s">
        <v>99</v>
      </c>
    </row>
    <row r="1853" spans="1:12" ht="18.75" customHeight="1" x14ac:dyDescent="0.3">
      <c r="A1853" s="30">
        <v>1871</v>
      </c>
      <c r="B1853" s="29"/>
      <c r="C1853" s="5" t="s">
        <v>14</v>
      </c>
      <c r="D1853" s="7">
        <v>286</v>
      </c>
      <c r="E1853" s="31">
        <v>26288</v>
      </c>
      <c r="F1853" s="29"/>
      <c r="G1853" s="32">
        <v>45738</v>
      </c>
      <c r="H1853" s="29"/>
      <c r="I1853" s="5" t="s">
        <v>98</v>
      </c>
      <c r="J1853" s="5" t="s">
        <v>96</v>
      </c>
      <c r="K1853" s="5" t="s">
        <v>99</v>
      </c>
    </row>
    <row r="1854" spans="1:12" ht="18.75" customHeight="1" x14ac:dyDescent="0.3">
      <c r="A1854" s="30">
        <v>1872</v>
      </c>
      <c r="B1854" s="29"/>
      <c r="C1854" s="5" t="s">
        <v>14</v>
      </c>
      <c r="D1854" s="7">
        <v>436</v>
      </c>
      <c r="E1854" s="31">
        <v>26222</v>
      </c>
      <c r="F1854" s="29"/>
      <c r="G1854" s="32">
        <v>45733</v>
      </c>
      <c r="H1854" s="29"/>
      <c r="I1854" s="5" t="s">
        <v>28</v>
      </c>
      <c r="J1854" s="5" t="s">
        <v>66</v>
      </c>
      <c r="K1854" s="5" t="s">
        <v>30</v>
      </c>
    </row>
    <row r="1855" spans="1:12" ht="18.75" customHeight="1" x14ac:dyDescent="0.3">
      <c r="A1855" s="30">
        <v>1873</v>
      </c>
      <c r="B1855" s="29"/>
      <c r="C1855" s="5" t="s">
        <v>14</v>
      </c>
      <c r="D1855" s="7">
        <v>336</v>
      </c>
      <c r="E1855" s="31">
        <v>26235</v>
      </c>
      <c r="F1855" s="29"/>
      <c r="G1855" s="32">
        <v>45734</v>
      </c>
      <c r="H1855" s="29"/>
      <c r="I1855" s="5" t="s">
        <v>28</v>
      </c>
      <c r="J1855" s="5" t="s">
        <v>66</v>
      </c>
      <c r="K1855" s="5" t="s">
        <v>30</v>
      </c>
    </row>
    <row r="1856" spans="1:12" ht="18.75" customHeight="1" x14ac:dyDescent="0.3">
      <c r="A1856" s="30">
        <v>1874</v>
      </c>
      <c r="B1856" s="29"/>
      <c r="C1856" s="5" t="s">
        <v>14</v>
      </c>
      <c r="D1856" s="7">
        <v>319</v>
      </c>
      <c r="E1856" s="31">
        <v>26253</v>
      </c>
      <c r="F1856" s="29"/>
      <c r="G1856" s="32">
        <v>45735</v>
      </c>
      <c r="H1856" s="29"/>
      <c r="I1856" s="5" t="s">
        <v>28</v>
      </c>
      <c r="J1856" s="5" t="s">
        <v>66</v>
      </c>
      <c r="K1856" s="5" t="s">
        <v>30</v>
      </c>
    </row>
    <row r="1857" spans="1:12" ht="18.75" customHeight="1" x14ac:dyDescent="0.3">
      <c r="A1857" s="30">
        <v>1875</v>
      </c>
      <c r="B1857" s="29"/>
      <c r="C1857" s="5" t="s">
        <v>14</v>
      </c>
      <c r="D1857" s="7">
        <v>304</v>
      </c>
      <c r="E1857" s="31">
        <v>26264</v>
      </c>
      <c r="F1857" s="29"/>
      <c r="G1857" s="32">
        <v>45736</v>
      </c>
      <c r="H1857" s="29"/>
      <c r="I1857" s="5" t="s">
        <v>28</v>
      </c>
      <c r="J1857" s="5" t="s">
        <v>66</v>
      </c>
      <c r="K1857" s="5" t="s">
        <v>30</v>
      </c>
    </row>
    <row r="1858" spans="1:12" ht="18.75" customHeight="1" x14ac:dyDescent="0.3">
      <c r="A1858" s="30">
        <v>1876</v>
      </c>
      <c r="B1858" s="29"/>
      <c r="C1858" s="5" t="s">
        <v>14</v>
      </c>
      <c r="D1858" s="7">
        <v>309</v>
      </c>
      <c r="E1858" s="31">
        <v>26277</v>
      </c>
      <c r="F1858" s="29"/>
      <c r="G1858" s="32">
        <v>45737</v>
      </c>
      <c r="H1858" s="29"/>
      <c r="I1858" s="5" t="s">
        <v>28</v>
      </c>
      <c r="J1858" s="5" t="s">
        <v>66</v>
      </c>
      <c r="K1858" s="5" t="s">
        <v>30</v>
      </c>
    </row>
    <row r="1859" spans="1:12" ht="18.75" customHeight="1" x14ac:dyDescent="0.3">
      <c r="A1859" s="30">
        <v>1877</v>
      </c>
      <c r="B1859" s="29"/>
      <c r="C1859" s="5" t="s">
        <v>14</v>
      </c>
      <c r="D1859" s="7">
        <v>313</v>
      </c>
      <c r="E1859" s="31">
        <v>26282</v>
      </c>
      <c r="F1859" s="29"/>
      <c r="G1859" s="32">
        <v>45738</v>
      </c>
      <c r="H1859" s="29"/>
      <c r="I1859" s="5" t="s">
        <v>28</v>
      </c>
      <c r="J1859" s="5" t="s">
        <v>66</v>
      </c>
      <c r="K1859" s="5" t="s">
        <v>30</v>
      </c>
    </row>
    <row r="1860" spans="1:12" ht="18.75" customHeight="1" x14ac:dyDescent="0.3">
      <c r="A1860" s="30">
        <v>1878</v>
      </c>
      <c r="B1860" s="29"/>
      <c r="C1860" s="5" t="s">
        <v>40</v>
      </c>
      <c r="D1860" s="7">
        <v>648</v>
      </c>
      <c r="E1860" s="31">
        <v>138694</v>
      </c>
      <c r="F1860" s="29"/>
      <c r="G1860" s="32">
        <v>45739</v>
      </c>
      <c r="H1860" s="29"/>
      <c r="I1860" s="5" t="s">
        <v>15</v>
      </c>
      <c r="J1860" s="5" t="s">
        <v>30</v>
      </c>
      <c r="K1860" s="5"/>
      <c r="L1860" t="s">
        <v>41</v>
      </c>
    </row>
    <row r="1861" spans="1:12" ht="18.75" customHeight="1" x14ac:dyDescent="0.3">
      <c r="A1861" s="30">
        <v>1879</v>
      </c>
      <c r="B1861" s="29"/>
      <c r="C1861" s="5" t="s">
        <v>40</v>
      </c>
      <c r="D1861" s="7">
        <v>628</v>
      </c>
      <c r="E1861" s="31">
        <v>137582</v>
      </c>
      <c r="F1861" s="29"/>
      <c r="G1861" s="32">
        <v>45740</v>
      </c>
      <c r="H1861" s="29"/>
      <c r="I1861" s="5" t="s">
        <v>15</v>
      </c>
      <c r="J1861" s="5" t="s">
        <v>30</v>
      </c>
      <c r="K1861" s="5"/>
      <c r="L1861" t="s">
        <v>43</v>
      </c>
    </row>
    <row r="1862" spans="1:12" ht="18.75" customHeight="1" x14ac:dyDescent="0.3">
      <c r="A1862" s="30">
        <v>1880</v>
      </c>
      <c r="B1862" s="29"/>
      <c r="C1862" s="5" t="s">
        <v>40</v>
      </c>
      <c r="D1862" s="7">
        <v>523</v>
      </c>
      <c r="E1862" s="31">
        <v>137588</v>
      </c>
      <c r="F1862" s="29"/>
      <c r="G1862" s="32">
        <v>45741</v>
      </c>
      <c r="H1862" s="29"/>
      <c r="I1862" s="5" t="s">
        <v>15</v>
      </c>
      <c r="J1862" s="5" t="s">
        <v>30</v>
      </c>
      <c r="K1862" s="5"/>
      <c r="L1862" t="s">
        <v>43</v>
      </c>
    </row>
    <row r="1863" spans="1:12" ht="18.75" customHeight="1" x14ac:dyDescent="0.3">
      <c r="A1863" s="30">
        <v>1881</v>
      </c>
      <c r="B1863" s="29"/>
      <c r="C1863" s="5" t="s">
        <v>40</v>
      </c>
      <c r="D1863" s="7">
        <v>500</v>
      </c>
      <c r="E1863" s="31">
        <v>137595</v>
      </c>
      <c r="F1863" s="29"/>
      <c r="G1863" s="32">
        <v>45743</v>
      </c>
      <c r="H1863" s="29"/>
      <c r="I1863" s="5" t="s">
        <v>15</v>
      </c>
      <c r="J1863" s="5" t="s">
        <v>30</v>
      </c>
      <c r="K1863" s="5"/>
      <c r="L1863" t="s">
        <v>87</v>
      </c>
    </row>
    <row r="1864" spans="1:12" ht="18.75" customHeight="1" x14ac:dyDescent="0.3">
      <c r="A1864" s="30">
        <v>1882</v>
      </c>
      <c r="B1864" s="29"/>
      <c r="C1864" s="5" t="s">
        <v>40</v>
      </c>
      <c r="D1864" s="7">
        <v>539</v>
      </c>
      <c r="E1864" s="31">
        <v>137600</v>
      </c>
      <c r="F1864" s="29"/>
      <c r="G1864" s="32">
        <v>45744</v>
      </c>
      <c r="H1864" s="29"/>
      <c r="I1864" s="5" t="s">
        <v>15</v>
      </c>
      <c r="J1864" s="5" t="s">
        <v>30</v>
      </c>
      <c r="K1864" s="5"/>
      <c r="L1864" t="s">
        <v>43</v>
      </c>
    </row>
    <row r="1865" spans="1:12" ht="18.75" customHeight="1" x14ac:dyDescent="0.3">
      <c r="A1865" s="30">
        <v>1883</v>
      </c>
      <c r="B1865" s="29"/>
      <c r="C1865" s="5" t="s">
        <v>40</v>
      </c>
      <c r="D1865" s="7">
        <v>334</v>
      </c>
      <c r="E1865" s="31">
        <v>137583</v>
      </c>
      <c r="F1865" s="29"/>
      <c r="G1865" s="32">
        <v>45740</v>
      </c>
      <c r="H1865" s="29"/>
      <c r="I1865" s="5" t="s">
        <v>28</v>
      </c>
      <c r="J1865" s="5" t="s">
        <v>66</v>
      </c>
      <c r="K1865" s="5"/>
      <c r="L1865" t="s">
        <v>43</v>
      </c>
    </row>
    <row r="1866" spans="1:12" ht="18.75" customHeight="1" x14ac:dyDescent="0.3">
      <c r="A1866" s="30">
        <v>1884</v>
      </c>
      <c r="B1866" s="29"/>
      <c r="C1866" s="5" t="s">
        <v>40</v>
      </c>
      <c r="D1866" s="7">
        <v>640</v>
      </c>
      <c r="E1866" s="31">
        <v>137592</v>
      </c>
      <c r="F1866" s="29"/>
      <c r="G1866" s="32">
        <v>45742</v>
      </c>
      <c r="H1866" s="29"/>
      <c r="I1866" s="5" t="s">
        <v>28</v>
      </c>
      <c r="J1866" s="5" t="s">
        <v>66</v>
      </c>
      <c r="K1866" s="5"/>
      <c r="L1866" t="s">
        <v>43</v>
      </c>
    </row>
    <row r="1867" spans="1:12" ht="18.75" customHeight="1" x14ac:dyDescent="0.3">
      <c r="A1867" s="30">
        <v>1885</v>
      </c>
      <c r="B1867" s="29"/>
      <c r="C1867" s="5" t="s">
        <v>40</v>
      </c>
      <c r="D1867" s="7">
        <v>515</v>
      </c>
      <c r="E1867" s="31">
        <v>137596</v>
      </c>
      <c r="F1867" s="29"/>
      <c r="G1867" s="32">
        <v>45743</v>
      </c>
      <c r="H1867" s="29"/>
      <c r="I1867" s="5" t="s">
        <v>28</v>
      </c>
      <c r="J1867" s="5" t="s">
        <v>66</v>
      </c>
      <c r="K1867" s="5"/>
      <c r="L1867" t="s">
        <v>43</v>
      </c>
    </row>
    <row r="1868" spans="1:12" ht="18.75" customHeight="1" x14ac:dyDescent="0.3">
      <c r="A1868" s="30">
        <v>1886</v>
      </c>
      <c r="B1868" s="29"/>
      <c r="C1868" s="5" t="s">
        <v>14</v>
      </c>
      <c r="D1868" s="7">
        <v>264</v>
      </c>
      <c r="E1868" s="31">
        <v>26268</v>
      </c>
      <c r="F1868" s="29"/>
      <c r="G1868" s="32">
        <v>45736</v>
      </c>
      <c r="H1868" s="29"/>
      <c r="I1868" s="5" t="s">
        <v>54</v>
      </c>
      <c r="J1868" s="5" t="s">
        <v>16</v>
      </c>
      <c r="K1868" s="5" t="s">
        <v>97</v>
      </c>
    </row>
    <row r="1869" spans="1:12" ht="18.75" customHeight="1" x14ac:dyDescent="0.3">
      <c r="A1869" s="30">
        <v>1887</v>
      </c>
      <c r="B1869" s="29"/>
      <c r="C1869" s="5" t="s">
        <v>14</v>
      </c>
      <c r="D1869" s="7">
        <v>311</v>
      </c>
      <c r="E1869" s="31">
        <v>26294</v>
      </c>
      <c r="F1869" s="29"/>
      <c r="G1869" s="32">
        <v>45739</v>
      </c>
      <c r="H1869" s="29"/>
      <c r="I1869" s="5" t="s">
        <v>54</v>
      </c>
      <c r="J1869" s="5" t="s">
        <v>16</v>
      </c>
      <c r="K1869" s="5" t="s">
        <v>97</v>
      </c>
    </row>
    <row r="1870" spans="1:12" ht="18.75" customHeight="1" x14ac:dyDescent="0.3">
      <c r="A1870" s="30">
        <v>1888</v>
      </c>
      <c r="B1870" s="29"/>
      <c r="C1870" s="5" t="s">
        <v>14</v>
      </c>
      <c r="D1870" s="7">
        <v>346</v>
      </c>
      <c r="E1870" s="31">
        <v>26300</v>
      </c>
      <c r="F1870" s="29"/>
      <c r="G1870" s="32">
        <v>45740</v>
      </c>
      <c r="H1870" s="29"/>
      <c r="I1870" s="5" t="s">
        <v>54</v>
      </c>
      <c r="J1870" s="5" t="s">
        <v>16</v>
      </c>
      <c r="K1870" s="5" t="s">
        <v>97</v>
      </c>
    </row>
    <row r="1871" spans="1:12" ht="18.75" customHeight="1" x14ac:dyDescent="0.3">
      <c r="A1871" s="30">
        <v>1889</v>
      </c>
      <c r="B1871" s="29"/>
      <c r="C1871" s="5" t="s">
        <v>14</v>
      </c>
      <c r="D1871" s="7">
        <v>255</v>
      </c>
      <c r="E1871" s="31">
        <v>26310</v>
      </c>
      <c r="F1871" s="29"/>
      <c r="G1871" s="32">
        <v>45741</v>
      </c>
      <c r="H1871" s="29"/>
      <c r="I1871" s="5" t="s">
        <v>54</v>
      </c>
      <c r="J1871" s="5" t="s">
        <v>16</v>
      </c>
      <c r="K1871" s="5" t="s">
        <v>97</v>
      </c>
    </row>
    <row r="1872" spans="1:12" ht="18.75" customHeight="1" x14ac:dyDescent="0.3">
      <c r="A1872" s="30">
        <v>1890</v>
      </c>
      <c r="B1872" s="29"/>
      <c r="C1872" s="5" t="s">
        <v>14</v>
      </c>
      <c r="D1872" s="7">
        <v>339</v>
      </c>
      <c r="E1872" s="31">
        <v>26323</v>
      </c>
      <c r="F1872" s="29"/>
      <c r="G1872" s="32">
        <v>45742</v>
      </c>
      <c r="H1872" s="29"/>
      <c r="I1872" s="5" t="s">
        <v>54</v>
      </c>
      <c r="J1872" s="5" t="s">
        <v>16</v>
      </c>
      <c r="K1872" s="5" t="s">
        <v>97</v>
      </c>
    </row>
    <row r="1873" spans="1:12" ht="18.75" customHeight="1" x14ac:dyDescent="0.3">
      <c r="A1873" s="30">
        <v>1891</v>
      </c>
      <c r="B1873" s="29"/>
      <c r="C1873" s="5" t="s">
        <v>14</v>
      </c>
      <c r="D1873" s="7">
        <v>280</v>
      </c>
      <c r="E1873" s="31">
        <v>26346</v>
      </c>
      <c r="F1873" s="29"/>
      <c r="G1873" s="32">
        <v>45744</v>
      </c>
      <c r="H1873" s="29"/>
      <c r="I1873" s="5" t="s">
        <v>54</v>
      </c>
      <c r="J1873" s="5" t="s">
        <v>16</v>
      </c>
      <c r="K1873" s="5" t="s">
        <v>97</v>
      </c>
    </row>
    <row r="1874" spans="1:12" ht="18.75" customHeight="1" x14ac:dyDescent="0.3">
      <c r="A1874" s="30">
        <v>1892</v>
      </c>
      <c r="B1874" s="29"/>
      <c r="C1874" s="5" t="s">
        <v>14</v>
      </c>
      <c r="D1874" s="7">
        <v>169</v>
      </c>
      <c r="E1874" s="31">
        <v>26354</v>
      </c>
      <c r="F1874" s="29"/>
      <c r="G1874" s="32">
        <v>45745</v>
      </c>
      <c r="H1874" s="29"/>
      <c r="I1874" s="5" t="s">
        <v>54</v>
      </c>
      <c r="J1874" s="5" t="s">
        <v>16</v>
      </c>
      <c r="K1874" s="5" t="s">
        <v>97</v>
      </c>
    </row>
    <row r="1875" spans="1:12" ht="18.75" customHeight="1" x14ac:dyDescent="0.3">
      <c r="A1875" s="30">
        <v>1893</v>
      </c>
      <c r="B1875" s="29"/>
      <c r="C1875" s="5" t="s">
        <v>14</v>
      </c>
      <c r="D1875" s="7">
        <v>193</v>
      </c>
      <c r="E1875" s="31">
        <v>121709</v>
      </c>
      <c r="F1875" s="29"/>
      <c r="G1875" s="32">
        <v>45745</v>
      </c>
      <c r="H1875" s="29"/>
      <c r="I1875" s="5" t="s">
        <v>54</v>
      </c>
      <c r="J1875" s="5" t="s">
        <v>16</v>
      </c>
      <c r="K1875" s="5" t="s">
        <v>97</v>
      </c>
    </row>
    <row r="1876" spans="1:12" ht="18.75" customHeight="1" x14ac:dyDescent="0.3">
      <c r="A1876" s="30">
        <v>1894</v>
      </c>
      <c r="B1876" s="29"/>
      <c r="C1876" s="5" t="s">
        <v>14</v>
      </c>
      <c r="D1876" s="7">
        <v>253</v>
      </c>
      <c r="E1876" s="31">
        <v>26352</v>
      </c>
      <c r="F1876" s="29"/>
      <c r="G1876" s="32">
        <v>45745</v>
      </c>
      <c r="H1876" s="29"/>
      <c r="I1876" s="5" t="s">
        <v>28</v>
      </c>
      <c r="J1876" s="5" t="s">
        <v>66</v>
      </c>
      <c r="K1876" s="5" t="s">
        <v>30</v>
      </c>
    </row>
    <row r="1877" spans="1:12" ht="18.75" customHeight="1" x14ac:dyDescent="0.3">
      <c r="A1877" s="30">
        <v>1895</v>
      </c>
      <c r="B1877" s="29"/>
      <c r="C1877" s="5" t="s">
        <v>40</v>
      </c>
      <c r="D1877" s="7">
        <v>385</v>
      </c>
      <c r="E1877" s="31">
        <v>138638</v>
      </c>
      <c r="F1877" s="29"/>
      <c r="G1877" s="32">
        <v>45746</v>
      </c>
      <c r="H1877" s="29"/>
      <c r="I1877" s="5" t="s">
        <v>15</v>
      </c>
      <c r="J1877" s="5" t="s">
        <v>30</v>
      </c>
      <c r="K1877" s="5"/>
      <c r="L1877" t="s">
        <v>41</v>
      </c>
    </row>
    <row r="1878" spans="1:12" ht="18.75" customHeight="1" x14ac:dyDescent="0.3">
      <c r="A1878" s="30">
        <v>1896</v>
      </c>
      <c r="B1878" s="29"/>
      <c r="C1878" s="5" t="s">
        <v>40</v>
      </c>
      <c r="D1878" s="7">
        <v>630</v>
      </c>
      <c r="E1878" s="31">
        <v>141509</v>
      </c>
      <c r="F1878" s="29"/>
      <c r="G1878" s="32">
        <v>45746</v>
      </c>
      <c r="H1878" s="29"/>
      <c r="I1878" s="5" t="s">
        <v>15</v>
      </c>
      <c r="J1878" s="5" t="s">
        <v>30</v>
      </c>
      <c r="K1878" s="5"/>
      <c r="L1878" t="s">
        <v>44</v>
      </c>
    </row>
    <row r="1879" spans="1:12" ht="18.75" customHeight="1" x14ac:dyDescent="0.3">
      <c r="A1879" s="30">
        <v>1897</v>
      </c>
      <c r="B1879" s="29"/>
      <c r="C1879" s="5" t="s">
        <v>40</v>
      </c>
      <c r="D1879" s="7">
        <v>520</v>
      </c>
      <c r="E1879" s="31">
        <v>137604</v>
      </c>
      <c r="F1879" s="29"/>
      <c r="G1879" s="32">
        <v>45747</v>
      </c>
      <c r="H1879" s="29"/>
      <c r="I1879" s="5" t="s">
        <v>15</v>
      </c>
      <c r="J1879" s="5" t="s">
        <v>30</v>
      </c>
      <c r="K1879" s="5"/>
      <c r="L1879" t="s">
        <v>43</v>
      </c>
    </row>
    <row r="1880" spans="1:12" ht="18.75" customHeight="1" x14ac:dyDescent="0.3">
      <c r="A1880" s="30">
        <v>1898</v>
      </c>
      <c r="B1880" s="29"/>
      <c r="C1880" s="5" t="s">
        <v>40</v>
      </c>
      <c r="D1880" s="7">
        <v>390</v>
      </c>
      <c r="E1880" s="31">
        <v>138649</v>
      </c>
      <c r="F1880" s="29"/>
      <c r="G1880" s="32">
        <v>45748</v>
      </c>
      <c r="H1880" s="29"/>
      <c r="I1880" s="5" t="s">
        <v>15</v>
      </c>
      <c r="J1880" s="5" t="s">
        <v>30</v>
      </c>
      <c r="K1880" s="5"/>
      <c r="L1880" t="s">
        <v>41</v>
      </c>
    </row>
    <row r="1881" spans="1:12" ht="18.75" customHeight="1" x14ac:dyDescent="0.3">
      <c r="A1881" s="30">
        <v>1899</v>
      </c>
      <c r="B1881" s="29"/>
      <c r="C1881" s="5" t="s">
        <v>40</v>
      </c>
      <c r="D1881" s="7">
        <v>520</v>
      </c>
      <c r="E1881" s="31">
        <v>137608</v>
      </c>
      <c r="F1881" s="29"/>
      <c r="G1881" s="32">
        <v>45749</v>
      </c>
      <c r="H1881" s="29"/>
      <c r="I1881" s="5" t="s">
        <v>15</v>
      </c>
      <c r="J1881" s="5" t="s">
        <v>30</v>
      </c>
      <c r="K1881" s="5"/>
      <c r="L1881" t="s">
        <v>43</v>
      </c>
    </row>
    <row r="1882" spans="1:12" ht="18.75" customHeight="1" x14ac:dyDescent="0.3">
      <c r="A1882" s="30">
        <v>1900</v>
      </c>
      <c r="B1882" s="29"/>
      <c r="C1882" s="5" t="s">
        <v>40</v>
      </c>
      <c r="D1882" s="7">
        <v>378</v>
      </c>
      <c r="E1882" s="31">
        <v>137611</v>
      </c>
      <c r="F1882" s="29"/>
      <c r="G1882" s="32">
        <v>45749</v>
      </c>
      <c r="H1882" s="29"/>
      <c r="I1882" s="5" t="s">
        <v>28</v>
      </c>
      <c r="J1882" s="5" t="s">
        <v>66</v>
      </c>
      <c r="K1882" s="5"/>
      <c r="L1882" t="s">
        <v>43</v>
      </c>
    </row>
    <row r="1883" spans="1:12" ht="18.75" customHeight="1" x14ac:dyDescent="0.3">
      <c r="A1883" s="30">
        <v>1901</v>
      </c>
      <c r="B1883" s="29"/>
      <c r="C1883" s="5" t="s">
        <v>40</v>
      </c>
      <c r="D1883" s="7">
        <v>630</v>
      </c>
      <c r="E1883" s="31">
        <v>141510</v>
      </c>
      <c r="F1883" s="29"/>
      <c r="G1883" s="32">
        <v>45746</v>
      </c>
      <c r="H1883" s="29"/>
      <c r="I1883" s="5" t="s">
        <v>28</v>
      </c>
      <c r="J1883" s="5" t="s">
        <v>66</v>
      </c>
      <c r="K1883" s="5"/>
      <c r="L1883" t="s">
        <v>44</v>
      </c>
    </row>
    <row r="1884" spans="1:12" ht="18.75" customHeight="1" x14ac:dyDescent="0.3">
      <c r="A1884" s="30">
        <v>1902</v>
      </c>
      <c r="B1884" s="29"/>
      <c r="C1884" s="5" t="s">
        <v>40</v>
      </c>
      <c r="D1884" s="7">
        <v>385</v>
      </c>
      <c r="E1884" s="31">
        <v>138637</v>
      </c>
      <c r="F1884" s="29"/>
      <c r="G1884" s="32">
        <v>45746</v>
      </c>
      <c r="H1884" s="29"/>
      <c r="I1884" s="5" t="s">
        <v>28</v>
      </c>
      <c r="J1884" s="5" t="s">
        <v>66</v>
      </c>
      <c r="K1884" s="5"/>
      <c r="L1884" t="s">
        <v>41</v>
      </c>
    </row>
    <row r="1885" spans="1:12" ht="18.75" customHeight="1" x14ac:dyDescent="0.3">
      <c r="A1885" s="30">
        <v>1903</v>
      </c>
      <c r="B1885" s="29"/>
      <c r="C1885" s="5" t="s">
        <v>14</v>
      </c>
      <c r="D1885" s="7">
        <v>226</v>
      </c>
      <c r="E1885" s="31">
        <v>26375</v>
      </c>
      <c r="F1885" s="29"/>
      <c r="G1885" s="32">
        <v>45747</v>
      </c>
      <c r="H1885" s="29"/>
      <c r="I1885" s="5" t="s">
        <v>54</v>
      </c>
      <c r="J1885" s="5" t="s">
        <v>16</v>
      </c>
      <c r="K1885" s="5" t="s">
        <v>97</v>
      </c>
    </row>
    <row r="1886" spans="1:12" ht="18.75" customHeight="1" x14ac:dyDescent="0.3">
      <c r="A1886" s="30">
        <v>1904</v>
      </c>
      <c r="B1886" s="29"/>
      <c r="C1886" s="5" t="s">
        <v>14</v>
      </c>
      <c r="D1886" s="7">
        <v>272</v>
      </c>
      <c r="E1886" s="31">
        <v>26387</v>
      </c>
      <c r="F1886" s="29"/>
      <c r="G1886" s="32">
        <v>45748</v>
      </c>
      <c r="H1886" s="29"/>
      <c r="I1886" s="5" t="s">
        <v>54</v>
      </c>
      <c r="J1886" s="5" t="s">
        <v>16</v>
      </c>
      <c r="K1886" s="5" t="s">
        <v>97</v>
      </c>
    </row>
    <row r="1887" spans="1:12" ht="18.75" customHeight="1" x14ac:dyDescent="0.3">
      <c r="A1887" s="30">
        <v>1905</v>
      </c>
      <c r="B1887" s="29"/>
      <c r="C1887" s="5" t="s">
        <v>14</v>
      </c>
      <c r="D1887" s="7">
        <v>311</v>
      </c>
      <c r="E1887" s="31">
        <v>40015</v>
      </c>
      <c r="F1887" s="29"/>
      <c r="G1887" s="32">
        <v>45750</v>
      </c>
      <c r="H1887" s="29"/>
      <c r="I1887" s="5" t="s">
        <v>54</v>
      </c>
      <c r="J1887" s="5" t="s">
        <v>16</v>
      </c>
      <c r="K1887" s="5" t="s">
        <v>97</v>
      </c>
    </row>
    <row r="1888" spans="1:12" ht="18.75" customHeight="1" x14ac:dyDescent="0.3">
      <c r="A1888" s="30">
        <v>1906</v>
      </c>
      <c r="B1888" s="29"/>
      <c r="C1888" s="5" t="s">
        <v>14</v>
      </c>
      <c r="D1888" s="7">
        <v>243</v>
      </c>
      <c r="E1888" s="31">
        <v>40034</v>
      </c>
      <c r="F1888" s="29"/>
      <c r="G1888" s="32">
        <v>45751</v>
      </c>
      <c r="H1888" s="29"/>
      <c r="I1888" s="5" t="s">
        <v>54</v>
      </c>
      <c r="J1888" s="5" t="s">
        <v>16</v>
      </c>
      <c r="K1888" s="5" t="s">
        <v>97</v>
      </c>
    </row>
    <row r="1889" spans="1:11" ht="18.75" customHeight="1" x14ac:dyDescent="0.3">
      <c r="A1889" s="30">
        <v>1907</v>
      </c>
      <c r="B1889" s="29"/>
      <c r="C1889" s="5" t="s">
        <v>14</v>
      </c>
      <c r="D1889" s="7">
        <v>235</v>
      </c>
      <c r="E1889" s="31">
        <v>26423</v>
      </c>
      <c r="F1889" s="29"/>
      <c r="G1889" s="32">
        <v>45753</v>
      </c>
      <c r="H1889" s="29"/>
      <c r="I1889" s="5" t="s">
        <v>98</v>
      </c>
      <c r="J1889" s="5" t="s">
        <v>96</v>
      </c>
      <c r="K1889" s="5" t="s">
        <v>99</v>
      </c>
    </row>
    <row r="1890" spans="1:11" ht="18.75" customHeight="1" x14ac:dyDescent="0.3">
      <c r="A1890" s="30">
        <v>1908</v>
      </c>
      <c r="B1890" s="29"/>
      <c r="C1890" s="5" t="s">
        <v>14</v>
      </c>
      <c r="D1890" s="7">
        <v>381</v>
      </c>
      <c r="E1890" s="31">
        <v>26367</v>
      </c>
      <c r="F1890" s="29"/>
      <c r="G1890" s="32">
        <v>45747</v>
      </c>
      <c r="H1890" s="29"/>
      <c r="I1890" s="5" t="s">
        <v>28</v>
      </c>
      <c r="J1890" s="5" t="s">
        <v>66</v>
      </c>
      <c r="K1890" s="5" t="s">
        <v>30</v>
      </c>
    </row>
    <row r="1891" spans="1:11" ht="18.75" customHeight="1" x14ac:dyDescent="0.3">
      <c r="A1891" s="30">
        <v>1909</v>
      </c>
      <c r="B1891" s="29"/>
      <c r="C1891" s="5" t="s">
        <v>14</v>
      </c>
      <c r="D1891" s="7">
        <v>350</v>
      </c>
      <c r="E1891" s="31">
        <v>26384</v>
      </c>
      <c r="F1891" s="29"/>
      <c r="G1891" s="32">
        <v>45748</v>
      </c>
      <c r="H1891" s="29"/>
      <c r="I1891" s="5" t="s">
        <v>28</v>
      </c>
      <c r="J1891" s="5" t="s">
        <v>66</v>
      </c>
      <c r="K1891" s="5" t="s">
        <v>30</v>
      </c>
    </row>
    <row r="1892" spans="1:11" ht="18.75" customHeight="1" x14ac:dyDescent="0.3">
      <c r="A1892" s="30">
        <v>1910</v>
      </c>
      <c r="B1892" s="29"/>
      <c r="C1892" s="5" t="s">
        <v>14</v>
      </c>
      <c r="D1892" s="7">
        <v>230</v>
      </c>
      <c r="E1892" s="31">
        <v>26406</v>
      </c>
      <c r="F1892" s="29"/>
      <c r="G1892" s="32">
        <v>45749</v>
      </c>
      <c r="H1892" s="29"/>
      <c r="I1892" s="5" t="s">
        <v>28</v>
      </c>
      <c r="J1892" s="5" t="s">
        <v>66</v>
      </c>
      <c r="K1892" s="5" t="s">
        <v>30</v>
      </c>
    </row>
    <row r="1893" spans="1:11" ht="18.75" customHeight="1" x14ac:dyDescent="0.3">
      <c r="A1893" s="30">
        <v>1911</v>
      </c>
      <c r="B1893" s="29"/>
      <c r="C1893" s="5" t="s">
        <v>14</v>
      </c>
      <c r="D1893" s="7">
        <v>153</v>
      </c>
      <c r="E1893" s="31">
        <v>40014</v>
      </c>
      <c r="F1893" s="29"/>
      <c r="G1893" s="32">
        <v>45750</v>
      </c>
      <c r="H1893" s="29"/>
      <c r="I1893" s="5" t="s">
        <v>28</v>
      </c>
      <c r="J1893" s="5" t="s">
        <v>66</v>
      </c>
      <c r="K1893" s="5" t="s">
        <v>30</v>
      </c>
    </row>
    <row r="1894" spans="1:11" ht="18.75" customHeight="1" x14ac:dyDescent="0.3">
      <c r="A1894" s="30">
        <v>1912</v>
      </c>
      <c r="B1894" s="29"/>
      <c r="C1894" s="5" t="s">
        <v>14</v>
      </c>
      <c r="D1894" s="7">
        <v>186</v>
      </c>
      <c r="E1894" s="31">
        <v>40035</v>
      </c>
      <c r="F1894" s="29"/>
      <c r="G1894" s="32">
        <v>45751</v>
      </c>
      <c r="H1894" s="29"/>
      <c r="I1894" s="5" t="s">
        <v>28</v>
      </c>
      <c r="J1894" s="5" t="s">
        <v>66</v>
      </c>
      <c r="K1894" s="5" t="s">
        <v>30</v>
      </c>
    </row>
    <row r="1895" spans="1:11" ht="18.75" customHeight="1" x14ac:dyDescent="0.3">
      <c r="A1895" s="30">
        <v>1913</v>
      </c>
      <c r="B1895" s="29"/>
      <c r="C1895" s="5" t="s">
        <v>14</v>
      </c>
      <c r="D1895" s="7">
        <v>177</v>
      </c>
      <c r="E1895" s="31">
        <v>26422</v>
      </c>
      <c r="F1895" s="29"/>
      <c r="G1895" s="32">
        <v>45753</v>
      </c>
      <c r="H1895" s="29"/>
      <c r="I1895" s="5" t="s">
        <v>28</v>
      </c>
      <c r="J1895" s="5" t="s">
        <v>66</v>
      </c>
      <c r="K1895" s="5" t="s">
        <v>30</v>
      </c>
    </row>
    <row r="1896" spans="1:11" ht="18.75" customHeight="1" x14ac:dyDescent="0.3">
      <c r="A1896" s="30">
        <v>1914</v>
      </c>
      <c r="B1896" s="29"/>
      <c r="C1896" s="5" t="s">
        <v>14</v>
      </c>
      <c r="D1896" s="7">
        <v>226</v>
      </c>
      <c r="E1896" s="31">
        <v>121814</v>
      </c>
      <c r="F1896" s="29"/>
      <c r="G1896" s="32">
        <v>45752</v>
      </c>
      <c r="H1896" s="29"/>
      <c r="I1896" s="5" t="s">
        <v>54</v>
      </c>
      <c r="J1896" s="5" t="s">
        <v>16</v>
      </c>
      <c r="K1896" s="5" t="s">
        <v>97</v>
      </c>
    </row>
    <row r="1897" spans="1:11" ht="18.75" customHeight="1" x14ac:dyDescent="0.3">
      <c r="A1897" s="30">
        <v>1915</v>
      </c>
      <c r="B1897" s="29"/>
      <c r="C1897" s="5" t="s">
        <v>14</v>
      </c>
      <c r="D1897" s="7">
        <v>357</v>
      </c>
      <c r="E1897" s="31">
        <v>121812</v>
      </c>
      <c r="F1897" s="29"/>
      <c r="G1897" s="32">
        <v>45752</v>
      </c>
      <c r="H1897" s="29"/>
      <c r="I1897" s="5" t="s">
        <v>28</v>
      </c>
      <c r="J1897" s="5" t="s">
        <v>66</v>
      </c>
      <c r="K1897" s="5" t="s">
        <v>30</v>
      </c>
    </row>
    <row r="1898" spans="1:11" ht="18.75" customHeight="1" x14ac:dyDescent="0.3">
      <c r="A1898" s="30">
        <v>1916</v>
      </c>
      <c r="B1898" s="29"/>
      <c r="C1898" s="5" t="s">
        <v>14</v>
      </c>
      <c r="D1898" s="7">
        <v>348</v>
      </c>
      <c r="E1898" s="31">
        <v>26434</v>
      </c>
      <c r="F1898" s="29"/>
      <c r="G1898" s="32">
        <v>45754</v>
      </c>
      <c r="H1898" s="29"/>
      <c r="I1898" s="5" t="s">
        <v>54</v>
      </c>
      <c r="J1898" s="5" t="s">
        <v>16</v>
      </c>
      <c r="K1898" s="5" t="s">
        <v>97</v>
      </c>
    </row>
    <row r="1899" spans="1:11" ht="18.75" customHeight="1" x14ac:dyDescent="0.3">
      <c r="A1899" s="30">
        <v>1917</v>
      </c>
      <c r="B1899" s="29"/>
      <c r="C1899" s="5" t="s">
        <v>14</v>
      </c>
      <c r="D1899" s="7">
        <v>285</v>
      </c>
      <c r="E1899" s="31">
        <v>26447</v>
      </c>
      <c r="F1899" s="29"/>
      <c r="G1899" s="32">
        <v>45755</v>
      </c>
      <c r="H1899" s="29"/>
      <c r="I1899" s="5" t="s">
        <v>54</v>
      </c>
      <c r="J1899" s="5" t="s">
        <v>16</v>
      </c>
      <c r="K1899" s="5" t="s">
        <v>97</v>
      </c>
    </row>
    <row r="1900" spans="1:11" ht="18.75" customHeight="1" x14ac:dyDescent="0.3">
      <c r="A1900" s="30">
        <v>1918</v>
      </c>
      <c r="B1900" s="29"/>
      <c r="C1900" s="5" t="s">
        <v>14</v>
      </c>
      <c r="D1900" s="7">
        <v>263</v>
      </c>
      <c r="E1900" s="31">
        <v>26451</v>
      </c>
      <c r="F1900" s="29"/>
      <c r="G1900" s="32">
        <v>45756</v>
      </c>
      <c r="H1900" s="29"/>
      <c r="I1900" s="5" t="s">
        <v>54</v>
      </c>
      <c r="J1900" s="5" t="s">
        <v>16</v>
      </c>
      <c r="K1900" s="5" t="s">
        <v>97</v>
      </c>
    </row>
    <row r="1901" spans="1:11" ht="18.75" customHeight="1" x14ac:dyDescent="0.3">
      <c r="A1901" s="30">
        <v>1919</v>
      </c>
      <c r="B1901" s="29"/>
      <c r="C1901" s="5" t="s">
        <v>14</v>
      </c>
      <c r="D1901" s="7">
        <v>205</v>
      </c>
      <c r="E1901" s="31">
        <v>26441</v>
      </c>
      <c r="F1901" s="29"/>
      <c r="G1901" s="32">
        <v>45755</v>
      </c>
      <c r="H1901" s="29"/>
      <c r="I1901" s="5" t="s">
        <v>98</v>
      </c>
      <c r="J1901" s="5" t="s">
        <v>96</v>
      </c>
      <c r="K1901" s="5" t="s">
        <v>99</v>
      </c>
    </row>
    <row r="1902" spans="1:11" ht="18.75" customHeight="1" x14ac:dyDescent="0.3">
      <c r="A1902" s="30">
        <v>1920</v>
      </c>
      <c r="B1902" s="29"/>
      <c r="C1902" s="5" t="s">
        <v>14</v>
      </c>
      <c r="D1902" s="7">
        <v>190</v>
      </c>
      <c r="E1902" s="31">
        <v>26466</v>
      </c>
      <c r="F1902" s="29"/>
      <c r="G1902" s="32">
        <v>45757</v>
      </c>
      <c r="H1902" s="29"/>
      <c r="I1902" s="5" t="s">
        <v>98</v>
      </c>
      <c r="J1902" s="5" t="s">
        <v>96</v>
      </c>
      <c r="K1902" s="5" t="s">
        <v>99</v>
      </c>
    </row>
    <row r="1903" spans="1:11" ht="18.75" customHeight="1" x14ac:dyDescent="0.3">
      <c r="A1903" s="30">
        <v>1921</v>
      </c>
      <c r="B1903" s="29"/>
      <c r="C1903" s="5" t="s">
        <v>14</v>
      </c>
      <c r="D1903" s="7">
        <v>227</v>
      </c>
      <c r="E1903" s="31">
        <v>26474</v>
      </c>
      <c r="F1903" s="29"/>
      <c r="G1903" s="32">
        <v>45758</v>
      </c>
      <c r="H1903" s="29"/>
      <c r="I1903" s="5" t="s">
        <v>98</v>
      </c>
      <c r="J1903" s="5" t="s">
        <v>96</v>
      </c>
      <c r="K1903" s="5" t="s">
        <v>99</v>
      </c>
    </row>
    <row r="1904" spans="1:11" ht="18.75" customHeight="1" x14ac:dyDescent="0.3">
      <c r="A1904" s="30">
        <v>1922</v>
      </c>
      <c r="B1904" s="29"/>
      <c r="C1904" s="5" t="s">
        <v>14</v>
      </c>
      <c r="D1904" s="7">
        <v>308</v>
      </c>
      <c r="E1904" s="31">
        <v>26484</v>
      </c>
      <c r="F1904" s="29"/>
      <c r="G1904" s="32">
        <v>45759</v>
      </c>
      <c r="H1904" s="29"/>
      <c r="I1904" s="5" t="s">
        <v>98</v>
      </c>
      <c r="J1904" s="5" t="s">
        <v>96</v>
      </c>
      <c r="K1904" s="5" t="s">
        <v>99</v>
      </c>
    </row>
    <row r="1905" spans="1:12" ht="18.75" customHeight="1" x14ac:dyDescent="0.3">
      <c r="A1905" s="30">
        <v>1923</v>
      </c>
      <c r="B1905" s="29"/>
      <c r="C1905" s="5" t="s">
        <v>14</v>
      </c>
      <c r="D1905" s="7">
        <v>220</v>
      </c>
      <c r="E1905" s="31">
        <v>26491</v>
      </c>
      <c r="F1905" s="29"/>
      <c r="G1905" s="32">
        <v>45760</v>
      </c>
      <c r="H1905" s="29"/>
      <c r="I1905" s="5" t="s">
        <v>98</v>
      </c>
      <c r="J1905" s="5" t="s">
        <v>96</v>
      </c>
      <c r="K1905" s="5" t="s">
        <v>99</v>
      </c>
    </row>
    <row r="1906" spans="1:12" ht="18.75" customHeight="1" x14ac:dyDescent="0.3">
      <c r="A1906" s="30">
        <v>1924</v>
      </c>
      <c r="B1906" s="29"/>
      <c r="C1906" s="5" t="s">
        <v>14</v>
      </c>
      <c r="D1906" s="7">
        <v>218</v>
      </c>
      <c r="E1906" s="31">
        <v>26429</v>
      </c>
      <c r="F1906" s="29"/>
      <c r="G1906" s="32">
        <v>45754</v>
      </c>
      <c r="H1906" s="29"/>
      <c r="I1906" s="5" t="s">
        <v>28</v>
      </c>
      <c r="J1906" s="5" t="s">
        <v>66</v>
      </c>
      <c r="K1906" s="5" t="s">
        <v>30</v>
      </c>
    </row>
    <row r="1907" spans="1:12" ht="18.75" customHeight="1" x14ac:dyDescent="0.3">
      <c r="A1907" s="30">
        <v>1925</v>
      </c>
      <c r="B1907" s="29"/>
      <c r="C1907" s="5" t="s">
        <v>14</v>
      </c>
      <c r="D1907" s="7">
        <v>149</v>
      </c>
      <c r="E1907" s="31">
        <v>26448</v>
      </c>
      <c r="F1907" s="29"/>
      <c r="G1907" s="32">
        <v>45755</v>
      </c>
      <c r="H1907" s="29"/>
      <c r="I1907" s="5" t="s">
        <v>28</v>
      </c>
      <c r="J1907" s="5" t="s">
        <v>66</v>
      </c>
      <c r="K1907" s="5" t="s">
        <v>30</v>
      </c>
    </row>
    <row r="1908" spans="1:12" ht="18.75" customHeight="1" x14ac:dyDescent="0.3">
      <c r="A1908" s="30">
        <v>1926</v>
      </c>
      <c r="B1908" s="29"/>
      <c r="C1908" s="5" t="s">
        <v>14</v>
      </c>
      <c r="D1908" s="7">
        <v>237</v>
      </c>
      <c r="E1908" s="31">
        <v>26456</v>
      </c>
      <c r="F1908" s="29"/>
      <c r="G1908" s="32">
        <v>45756</v>
      </c>
      <c r="H1908" s="29"/>
      <c r="I1908" s="5" t="s">
        <v>28</v>
      </c>
      <c r="J1908" s="5" t="s">
        <v>66</v>
      </c>
      <c r="K1908" s="5" t="s">
        <v>30</v>
      </c>
    </row>
    <row r="1909" spans="1:12" ht="18.75" customHeight="1" x14ac:dyDescent="0.3">
      <c r="A1909" s="30">
        <v>1927</v>
      </c>
      <c r="B1909" s="29"/>
      <c r="C1909" s="5" t="s">
        <v>14</v>
      </c>
      <c r="D1909" s="7">
        <v>179</v>
      </c>
      <c r="E1909" s="31">
        <v>26465</v>
      </c>
      <c r="F1909" s="29"/>
      <c r="G1909" s="32">
        <v>45757</v>
      </c>
      <c r="H1909" s="29"/>
      <c r="I1909" s="5" t="s">
        <v>28</v>
      </c>
      <c r="J1909" s="5" t="s">
        <v>66</v>
      </c>
      <c r="K1909" s="5" t="s">
        <v>30</v>
      </c>
    </row>
    <row r="1910" spans="1:12" ht="18.75" customHeight="1" x14ac:dyDescent="0.3">
      <c r="A1910" s="30">
        <v>1928</v>
      </c>
      <c r="B1910" s="29"/>
      <c r="C1910" s="5" t="s">
        <v>14</v>
      </c>
      <c r="D1910" s="7">
        <v>366</v>
      </c>
      <c r="E1910" s="31">
        <v>26477</v>
      </c>
      <c r="F1910" s="29"/>
      <c r="G1910" s="32">
        <v>45758</v>
      </c>
      <c r="H1910" s="29"/>
      <c r="I1910" s="5" t="s">
        <v>28</v>
      </c>
      <c r="J1910" s="5" t="s">
        <v>66</v>
      </c>
      <c r="K1910" s="5" t="s">
        <v>30</v>
      </c>
    </row>
    <row r="1911" spans="1:12" ht="18.75" customHeight="1" x14ac:dyDescent="0.3">
      <c r="A1911" s="30">
        <v>1929</v>
      </c>
      <c r="B1911" s="29"/>
      <c r="C1911" s="5" t="s">
        <v>14</v>
      </c>
      <c r="D1911" s="7">
        <v>259</v>
      </c>
      <c r="E1911" s="31">
        <v>26486</v>
      </c>
      <c r="F1911" s="29"/>
      <c r="G1911" s="32">
        <v>45759</v>
      </c>
      <c r="H1911" s="29"/>
      <c r="I1911" s="5" t="s">
        <v>28</v>
      </c>
      <c r="J1911" s="5" t="s">
        <v>66</v>
      </c>
      <c r="K1911" s="5" t="s">
        <v>30</v>
      </c>
    </row>
    <row r="1912" spans="1:12" ht="18.75" customHeight="1" x14ac:dyDescent="0.3">
      <c r="A1912" s="30">
        <v>1930</v>
      </c>
      <c r="B1912" s="29"/>
      <c r="C1912" s="5" t="s">
        <v>40</v>
      </c>
      <c r="D1912" s="7">
        <v>400</v>
      </c>
      <c r="E1912" s="31">
        <v>138398</v>
      </c>
      <c r="F1912" s="29"/>
      <c r="G1912" s="32">
        <v>45757</v>
      </c>
      <c r="H1912" s="29"/>
      <c r="I1912" s="5" t="s">
        <v>15</v>
      </c>
      <c r="J1912" s="5" t="s">
        <v>30</v>
      </c>
      <c r="K1912" s="5"/>
    </row>
    <row r="1913" spans="1:12" ht="18.75" customHeight="1" x14ac:dyDescent="0.3">
      <c r="A1913" s="30">
        <v>1931</v>
      </c>
      <c r="B1913" s="29"/>
      <c r="C1913" s="5" t="s">
        <v>40</v>
      </c>
      <c r="D1913" s="7">
        <v>396</v>
      </c>
      <c r="E1913" s="31">
        <v>141859</v>
      </c>
      <c r="F1913" s="29"/>
      <c r="G1913" s="32">
        <v>45759</v>
      </c>
      <c r="H1913" s="29"/>
      <c r="I1913" s="5" t="s">
        <v>15</v>
      </c>
      <c r="J1913" s="5" t="s">
        <v>30</v>
      </c>
      <c r="K1913" s="5"/>
    </row>
    <row r="1914" spans="1:12" ht="18.75" customHeight="1" x14ac:dyDescent="0.3">
      <c r="A1914" s="30">
        <v>1932</v>
      </c>
      <c r="B1914" s="29"/>
      <c r="C1914" s="5" t="s">
        <v>40</v>
      </c>
      <c r="D1914" s="7">
        <v>407</v>
      </c>
      <c r="E1914" s="31">
        <v>141519</v>
      </c>
      <c r="F1914" s="29"/>
      <c r="G1914" s="32">
        <v>45760</v>
      </c>
      <c r="H1914" s="29"/>
      <c r="I1914" s="5" t="s">
        <v>15</v>
      </c>
      <c r="J1914" s="5" t="s">
        <v>30</v>
      </c>
      <c r="K1914" s="5"/>
      <c r="L1914" t="s">
        <v>44</v>
      </c>
    </row>
    <row r="1915" spans="1:12" ht="18.75" customHeight="1" x14ac:dyDescent="0.3">
      <c r="A1915" s="30">
        <v>1933</v>
      </c>
      <c r="B1915" s="29"/>
      <c r="C1915" s="5" t="s">
        <v>40</v>
      </c>
      <c r="D1915" s="7">
        <v>528</v>
      </c>
      <c r="E1915" s="31">
        <v>141869</v>
      </c>
      <c r="F1915" s="29"/>
      <c r="G1915" s="32">
        <v>45760</v>
      </c>
      <c r="H1915" s="29"/>
      <c r="I1915" s="5" t="s">
        <v>15</v>
      </c>
      <c r="J1915" s="5" t="s">
        <v>30</v>
      </c>
      <c r="K1915" s="5"/>
      <c r="L1915" t="s">
        <v>41</v>
      </c>
    </row>
    <row r="1916" spans="1:12" ht="18.75" customHeight="1" x14ac:dyDescent="0.3">
      <c r="A1916" s="30">
        <v>1934</v>
      </c>
      <c r="B1916" s="29"/>
      <c r="C1916" s="5" t="s">
        <v>40</v>
      </c>
      <c r="D1916" s="7">
        <v>640</v>
      </c>
      <c r="E1916" s="31">
        <v>141874</v>
      </c>
      <c r="F1916" s="29"/>
      <c r="G1916" s="32">
        <v>45760</v>
      </c>
      <c r="H1916" s="29"/>
      <c r="I1916" s="5" t="s">
        <v>15</v>
      </c>
      <c r="J1916" s="5" t="s">
        <v>30</v>
      </c>
      <c r="K1916" s="5"/>
      <c r="L1916" t="s">
        <v>41</v>
      </c>
    </row>
    <row r="1917" spans="1:12" ht="18.75" customHeight="1" x14ac:dyDescent="0.3">
      <c r="A1917" s="30">
        <v>1935</v>
      </c>
      <c r="B1917" s="29"/>
      <c r="C1917" s="5" t="s">
        <v>40</v>
      </c>
      <c r="D1917" s="7">
        <v>640</v>
      </c>
      <c r="E1917" s="31">
        <v>137624</v>
      </c>
      <c r="F1917" s="29"/>
      <c r="G1917" s="32">
        <v>45761</v>
      </c>
      <c r="H1917" s="29"/>
      <c r="I1917" s="5" t="s">
        <v>15</v>
      </c>
      <c r="J1917" s="5" t="s">
        <v>30</v>
      </c>
      <c r="K1917" s="5"/>
      <c r="L1917" t="s">
        <v>43</v>
      </c>
    </row>
    <row r="1918" spans="1:12" ht="18.75" customHeight="1" x14ac:dyDescent="0.3">
      <c r="A1918" s="30">
        <v>1936</v>
      </c>
      <c r="B1918" s="29"/>
      <c r="C1918" s="5" t="s">
        <v>40</v>
      </c>
      <c r="D1918" s="7">
        <v>434</v>
      </c>
      <c r="E1918" s="31">
        <v>141882</v>
      </c>
      <c r="F1918" s="29"/>
      <c r="G1918" s="32">
        <v>45761</v>
      </c>
      <c r="H1918" s="29"/>
      <c r="I1918" s="5" t="s">
        <v>15</v>
      </c>
      <c r="J1918" s="5" t="s">
        <v>30</v>
      </c>
      <c r="K1918" s="5"/>
      <c r="L1918" t="s">
        <v>41</v>
      </c>
    </row>
    <row r="1919" spans="1:12" ht="18.75" customHeight="1" x14ac:dyDescent="0.3">
      <c r="A1919" s="30">
        <v>1937</v>
      </c>
      <c r="B1919" s="29"/>
      <c r="C1919" s="5" t="s">
        <v>40</v>
      </c>
      <c r="D1919" s="7">
        <v>520</v>
      </c>
      <c r="E1919" s="31">
        <v>137625</v>
      </c>
      <c r="F1919" s="29"/>
      <c r="G1919" s="32">
        <v>45762</v>
      </c>
      <c r="H1919" s="29"/>
      <c r="I1919" s="5" t="s">
        <v>15</v>
      </c>
      <c r="J1919" s="5" t="s">
        <v>30</v>
      </c>
      <c r="K1919" s="5"/>
      <c r="L1919" t="s">
        <v>43</v>
      </c>
    </row>
    <row r="1920" spans="1:12" ht="18.75" customHeight="1" x14ac:dyDescent="0.3">
      <c r="A1920" s="30">
        <v>1938</v>
      </c>
      <c r="B1920" s="29"/>
      <c r="C1920" s="5" t="s">
        <v>40</v>
      </c>
      <c r="D1920" s="7">
        <v>500</v>
      </c>
      <c r="E1920" s="31">
        <v>141889</v>
      </c>
      <c r="F1920" s="29"/>
      <c r="G1920" s="32">
        <v>45762</v>
      </c>
      <c r="H1920" s="29"/>
      <c r="I1920" s="5" t="s">
        <v>15</v>
      </c>
      <c r="J1920" s="5" t="s">
        <v>30</v>
      </c>
      <c r="K1920" s="5"/>
      <c r="L1920" t="s">
        <v>41</v>
      </c>
    </row>
    <row r="1921" spans="1:12" ht="18.75" customHeight="1" x14ac:dyDescent="0.3">
      <c r="A1921" s="30">
        <v>1939</v>
      </c>
      <c r="B1921" s="29"/>
      <c r="C1921" s="5" t="s">
        <v>40</v>
      </c>
      <c r="D1921" s="7">
        <v>424</v>
      </c>
      <c r="E1921" s="31">
        <v>141871</v>
      </c>
      <c r="F1921" s="29"/>
      <c r="G1921" s="32">
        <v>45760</v>
      </c>
      <c r="H1921" s="29"/>
      <c r="I1921" s="5" t="s">
        <v>28</v>
      </c>
      <c r="J1921" s="5" t="s">
        <v>66</v>
      </c>
      <c r="K1921" s="5"/>
      <c r="L1921" t="s">
        <v>41</v>
      </c>
    </row>
    <row r="1922" spans="1:12" ht="18.75" customHeight="1" x14ac:dyDescent="0.3">
      <c r="A1922" s="30">
        <v>1940</v>
      </c>
      <c r="B1922" s="29"/>
      <c r="C1922" s="5" t="s">
        <v>40</v>
      </c>
      <c r="D1922" s="7">
        <v>407</v>
      </c>
      <c r="E1922" s="31">
        <v>141520</v>
      </c>
      <c r="F1922" s="29"/>
      <c r="G1922" s="32">
        <v>45760</v>
      </c>
      <c r="H1922" s="29"/>
      <c r="I1922" s="5" t="s">
        <v>28</v>
      </c>
      <c r="J1922" s="5" t="s">
        <v>66</v>
      </c>
      <c r="K1922" s="5"/>
      <c r="L1922" t="s">
        <v>44</v>
      </c>
    </row>
    <row r="1923" spans="1:12" ht="18.75" customHeight="1" x14ac:dyDescent="0.3">
      <c r="A1923" s="30">
        <v>1941</v>
      </c>
      <c r="B1923" s="29"/>
      <c r="C1923" s="5" t="s">
        <v>14</v>
      </c>
      <c r="D1923" s="7">
        <v>284</v>
      </c>
      <c r="E1923" s="31">
        <v>26546</v>
      </c>
      <c r="F1923" s="29"/>
      <c r="G1923" s="32">
        <v>45767</v>
      </c>
      <c r="H1923" s="29"/>
      <c r="I1923" s="5" t="s">
        <v>54</v>
      </c>
      <c r="J1923" s="5" t="s">
        <v>16</v>
      </c>
      <c r="K1923" s="5"/>
    </row>
    <row r="1924" spans="1:12" ht="18.75" customHeight="1" x14ac:dyDescent="0.3">
      <c r="A1924" s="30">
        <v>1942</v>
      </c>
      <c r="B1924" s="29"/>
      <c r="C1924" s="5" t="s">
        <v>14</v>
      </c>
      <c r="D1924" s="7">
        <v>350</v>
      </c>
      <c r="E1924" s="31">
        <v>26506</v>
      </c>
      <c r="F1924" s="29"/>
      <c r="G1924" s="32">
        <v>45761</v>
      </c>
      <c r="H1924" s="29"/>
      <c r="I1924" s="5" t="s">
        <v>98</v>
      </c>
      <c r="J1924" s="5" t="s">
        <v>96</v>
      </c>
      <c r="K1924" s="5" t="s">
        <v>99</v>
      </c>
    </row>
    <row r="1925" spans="1:12" ht="18.75" customHeight="1" x14ac:dyDescent="0.3">
      <c r="A1925" s="30">
        <v>1943</v>
      </c>
      <c r="B1925" s="29"/>
      <c r="C1925" s="5" t="s">
        <v>14</v>
      </c>
      <c r="D1925" s="7">
        <v>312</v>
      </c>
      <c r="E1925" s="31">
        <v>26512</v>
      </c>
      <c r="F1925" s="29"/>
      <c r="G1925" s="32">
        <v>45762</v>
      </c>
      <c r="H1925" s="29"/>
      <c r="I1925" s="5" t="s">
        <v>98</v>
      </c>
      <c r="J1925" s="5" t="s">
        <v>96</v>
      </c>
      <c r="K1925" s="5" t="s">
        <v>99</v>
      </c>
    </row>
    <row r="1926" spans="1:12" ht="18.75" customHeight="1" x14ac:dyDescent="0.3">
      <c r="A1926" s="30">
        <v>1944</v>
      </c>
      <c r="B1926" s="29"/>
      <c r="C1926" s="5" t="s">
        <v>14</v>
      </c>
      <c r="D1926" s="7">
        <v>214</v>
      </c>
      <c r="E1926" s="31">
        <v>26533</v>
      </c>
      <c r="F1926" s="29"/>
      <c r="G1926" s="32">
        <v>45766</v>
      </c>
      <c r="H1926" s="29"/>
      <c r="I1926" s="5" t="s">
        <v>98</v>
      </c>
      <c r="J1926" s="5" t="s">
        <v>96</v>
      </c>
      <c r="K1926" s="5" t="s">
        <v>99</v>
      </c>
    </row>
    <row r="1927" spans="1:12" ht="18.75" customHeight="1" x14ac:dyDescent="0.3">
      <c r="A1927" s="30">
        <v>1945</v>
      </c>
      <c r="B1927" s="29"/>
      <c r="C1927" s="5" t="s">
        <v>14</v>
      </c>
      <c r="D1927" s="7">
        <v>316</v>
      </c>
      <c r="E1927" s="31">
        <v>26548</v>
      </c>
      <c r="F1927" s="29"/>
      <c r="G1927" s="32">
        <v>45767</v>
      </c>
      <c r="H1927" s="29"/>
      <c r="I1927" s="5" t="s">
        <v>98</v>
      </c>
      <c r="J1927" s="5" t="s">
        <v>96</v>
      </c>
      <c r="K1927" s="5" t="s">
        <v>99</v>
      </c>
    </row>
    <row r="1928" spans="1:12" ht="18.75" customHeight="1" x14ac:dyDescent="0.3">
      <c r="A1928" s="30">
        <v>1946</v>
      </c>
      <c r="B1928" s="29"/>
      <c r="C1928" s="5" t="s">
        <v>14</v>
      </c>
      <c r="D1928" s="7">
        <v>288</v>
      </c>
      <c r="E1928" s="31">
        <v>26504</v>
      </c>
      <c r="F1928" s="29"/>
      <c r="G1928" s="32">
        <v>45761</v>
      </c>
      <c r="H1928" s="29"/>
      <c r="I1928" s="5" t="s">
        <v>28</v>
      </c>
      <c r="J1928" s="5" t="s">
        <v>66</v>
      </c>
      <c r="K1928" s="5" t="s">
        <v>30</v>
      </c>
    </row>
    <row r="1929" spans="1:12" ht="18.75" customHeight="1" x14ac:dyDescent="0.3">
      <c r="A1929" s="30">
        <v>1947</v>
      </c>
      <c r="B1929" s="29"/>
      <c r="C1929" s="5" t="s">
        <v>14</v>
      </c>
      <c r="D1929" s="7">
        <v>265</v>
      </c>
      <c r="E1929" s="31">
        <v>26511</v>
      </c>
      <c r="F1929" s="29"/>
      <c r="G1929" s="32">
        <v>45762</v>
      </c>
      <c r="H1929" s="29"/>
      <c r="I1929" s="5" t="s">
        <v>28</v>
      </c>
      <c r="J1929" s="5" t="s">
        <v>66</v>
      </c>
      <c r="K1929" s="5" t="s">
        <v>30</v>
      </c>
    </row>
    <row r="1930" spans="1:12" ht="18.75" customHeight="1" x14ac:dyDescent="0.3">
      <c r="A1930" s="30">
        <v>1948</v>
      </c>
      <c r="B1930" s="29"/>
      <c r="C1930" s="5" t="s">
        <v>14</v>
      </c>
      <c r="D1930" s="7">
        <v>306</v>
      </c>
      <c r="E1930" s="31">
        <v>26520</v>
      </c>
      <c r="F1930" s="29"/>
      <c r="G1930" s="32">
        <v>45763</v>
      </c>
      <c r="H1930" s="29"/>
      <c r="I1930" s="5" t="s">
        <v>28</v>
      </c>
      <c r="J1930" s="5" t="s">
        <v>66</v>
      </c>
      <c r="K1930" s="5" t="s">
        <v>30</v>
      </c>
    </row>
    <row r="1931" spans="1:12" ht="18.75" customHeight="1" x14ac:dyDescent="0.3">
      <c r="A1931" s="30">
        <v>1949</v>
      </c>
      <c r="B1931" s="29"/>
      <c r="C1931" s="5" t="s">
        <v>14</v>
      </c>
      <c r="D1931" s="7">
        <v>299</v>
      </c>
      <c r="E1931" s="31">
        <v>26536</v>
      </c>
      <c r="F1931" s="29"/>
      <c r="G1931" s="32">
        <v>45766</v>
      </c>
      <c r="H1931" s="29"/>
      <c r="I1931" s="5" t="s">
        <v>28</v>
      </c>
      <c r="J1931" s="5" t="s">
        <v>66</v>
      </c>
      <c r="K1931" s="5" t="s">
        <v>30</v>
      </c>
    </row>
    <row r="1932" spans="1:12" ht="18.75" customHeight="1" x14ac:dyDescent="0.3">
      <c r="A1932" s="30">
        <v>1950</v>
      </c>
      <c r="B1932" s="29"/>
      <c r="C1932" s="5" t="s">
        <v>14</v>
      </c>
      <c r="D1932" s="7">
        <v>320</v>
      </c>
      <c r="E1932" s="31">
        <v>26559</v>
      </c>
      <c r="F1932" s="29"/>
      <c r="G1932" s="32">
        <v>45768</v>
      </c>
      <c r="H1932" s="29"/>
      <c r="I1932" s="5" t="s">
        <v>19</v>
      </c>
      <c r="J1932" s="5" t="s">
        <v>20</v>
      </c>
      <c r="K1932" s="5" t="s">
        <v>100</v>
      </c>
    </row>
    <row r="1933" spans="1:12" ht="18.75" customHeight="1" x14ac:dyDescent="0.3">
      <c r="A1933" s="30">
        <v>1951</v>
      </c>
      <c r="B1933" s="29"/>
      <c r="C1933" s="5" t="s">
        <v>14</v>
      </c>
      <c r="D1933" s="7">
        <v>339</v>
      </c>
      <c r="E1933" s="31">
        <v>26572</v>
      </c>
      <c r="F1933" s="29"/>
      <c r="G1933" s="32">
        <v>45769</v>
      </c>
      <c r="H1933" s="29"/>
      <c r="I1933" s="5" t="s">
        <v>19</v>
      </c>
      <c r="J1933" s="5" t="s">
        <v>20</v>
      </c>
      <c r="K1933" s="5" t="s">
        <v>100</v>
      </c>
    </row>
    <row r="1934" spans="1:12" ht="18.75" customHeight="1" x14ac:dyDescent="0.3">
      <c r="A1934" s="30">
        <v>1952</v>
      </c>
      <c r="B1934" s="29"/>
      <c r="C1934" s="5" t="s">
        <v>14</v>
      </c>
      <c r="D1934" s="7">
        <v>345</v>
      </c>
      <c r="E1934" s="31">
        <v>26581</v>
      </c>
      <c r="F1934" s="29"/>
      <c r="G1934" s="32">
        <v>45770</v>
      </c>
      <c r="H1934" s="29"/>
      <c r="I1934" s="5" t="s">
        <v>19</v>
      </c>
      <c r="J1934" s="5" t="s">
        <v>20</v>
      </c>
      <c r="K1934" s="5" t="s">
        <v>100</v>
      </c>
    </row>
    <row r="1935" spans="1:12" ht="18.75" customHeight="1" x14ac:dyDescent="0.3">
      <c r="A1935" s="30">
        <v>1953</v>
      </c>
      <c r="B1935" s="29"/>
      <c r="C1935" s="5" t="s">
        <v>14</v>
      </c>
      <c r="D1935" s="7">
        <v>345</v>
      </c>
      <c r="E1935" s="31">
        <v>26590</v>
      </c>
      <c r="F1935" s="29"/>
      <c r="G1935" s="32">
        <v>45771</v>
      </c>
      <c r="H1935" s="29"/>
      <c r="I1935" s="5" t="s">
        <v>19</v>
      </c>
      <c r="J1935" s="5" t="s">
        <v>20</v>
      </c>
      <c r="K1935" s="5" t="s">
        <v>100</v>
      </c>
    </row>
    <row r="1936" spans="1:12" ht="18.75" customHeight="1" x14ac:dyDescent="0.3">
      <c r="A1936" s="30">
        <v>1954</v>
      </c>
      <c r="B1936" s="29"/>
      <c r="C1936" s="5" t="s">
        <v>14</v>
      </c>
      <c r="D1936" s="7">
        <v>320</v>
      </c>
      <c r="E1936" s="31">
        <v>26602</v>
      </c>
      <c r="F1936" s="29"/>
      <c r="G1936" s="32">
        <v>45772</v>
      </c>
      <c r="H1936" s="29"/>
      <c r="I1936" s="5" t="s">
        <v>19</v>
      </c>
      <c r="J1936" s="5" t="s">
        <v>20</v>
      </c>
      <c r="K1936" s="5" t="s">
        <v>100</v>
      </c>
    </row>
    <row r="1937" spans="1:11" ht="18.75" customHeight="1" x14ac:dyDescent="0.3">
      <c r="A1937" s="30">
        <v>1955</v>
      </c>
      <c r="B1937" s="29"/>
      <c r="C1937" s="5" t="s">
        <v>14</v>
      </c>
      <c r="D1937" s="7">
        <v>238</v>
      </c>
      <c r="E1937" s="31">
        <v>144606</v>
      </c>
      <c r="F1937" s="29"/>
      <c r="G1937" s="32">
        <v>45768</v>
      </c>
      <c r="H1937" s="29"/>
      <c r="I1937" s="5" t="s">
        <v>15</v>
      </c>
      <c r="J1937" s="5" t="s">
        <v>16</v>
      </c>
      <c r="K1937" s="5" t="s">
        <v>17</v>
      </c>
    </row>
    <row r="1938" spans="1:11" ht="18.75" customHeight="1" x14ac:dyDescent="0.3">
      <c r="A1938" s="30">
        <v>1956</v>
      </c>
      <c r="B1938" s="29"/>
      <c r="C1938" s="5" t="s">
        <v>14</v>
      </c>
      <c r="D1938" s="7">
        <v>329</v>
      </c>
      <c r="E1938" s="31">
        <v>26568</v>
      </c>
      <c r="F1938" s="29"/>
      <c r="G1938" s="32">
        <v>45769</v>
      </c>
      <c r="H1938" s="29"/>
      <c r="I1938" s="5" t="s">
        <v>15</v>
      </c>
      <c r="J1938" s="5" t="s">
        <v>16</v>
      </c>
      <c r="K1938" s="5" t="s">
        <v>17</v>
      </c>
    </row>
    <row r="1939" spans="1:11" ht="18.75" customHeight="1" x14ac:dyDescent="0.3">
      <c r="A1939" s="30">
        <v>1957</v>
      </c>
      <c r="B1939" s="29"/>
      <c r="C1939" s="5" t="s">
        <v>14</v>
      </c>
      <c r="D1939" s="7">
        <v>261</v>
      </c>
      <c r="E1939" s="31">
        <v>26579</v>
      </c>
      <c r="F1939" s="29"/>
      <c r="G1939" s="32">
        <v>45770</v>
      </c>
      <c r="H1939" s="29"/>
      <c r="I1939" s="5" t="s">
        <v>15</v>
      </c>
      <c r="J1939" s="5" t="s">
        <v>16</v>
      </c>
      <c r="K1939" s="5" t="s">
        <v>17</v>
      </c>
    </row>
    <row r="1940" spans="1:11" ht="18.75" customHeight="1" x14ac:dyDescent="0.3">
      <c r="A1940" s="30">
        <v>1958</v>
      </c>
      <c r="B1940" s="29"/>
      <c r="C1940" s="5" t="s">
        <v>14</v>
      </c>
      <c r="D1940" s="7">
        <v>274</v>
      </c>
      <c r="E1940" s="31">
        <v>26589</v>
      </c>
      <c r="F1940" s="29"/>
      <c r="G1940" s="32">
        <v>45771</v>
      </c>
      <c r="H1940" s="29"/>
      <c r="I1940" s="5" t="s">
        <v>15</v>
      </c>
      <c r="J1940" s="5" t="s">
        <v>16</v>
      </c>
      <c r="K1940" s="5" t="s">
        <v>17</v>
      </c>
    </row>
    <row r="1941" spans="1:11" ht="18.75" customHeight="1" x14ac:dyDescent="0.3">
      <c r="A1941" s="30">
        <v>1959</v>
      </c>
      <c r="B1941" s="29"/>
      <c r="C1941" s="5" t="s">
        <v>14</v>
      </c>
      <c r="D1941" s="7">
        <v>322</v>
      </c>
      <c r="E1941" s="31">
        <v>26599</v>
      </c>
      <c r="F1941" s="29"/>
      <c r="G1941" s="32">
        <v>45772</v>
      </c>
      <c r="H1941" s="29"/>
      <c r="I1941" s="5" t="s">
        <v>15</v>
      </c>
      <c r="J1941" s="5" t="s">
        <v>16</v>
      </c>
      <c r="K1941" s="5" t="s">
        <v>17</v>
      </c>
    </row>
    <row r="1942" spans="1:11" ht="18.75" customHeight="1" x14ac:dyDescent="0.3">
      <c r="A1942" s="30">
        <v>1960</v>
      </c>
      <c r="B1942" s="29"/>
      <c r="C1942" s="5" t="s">
        <v>14</v>
      </c>
      <c r="D1942" s="7">
        <v>275</v>
      </c>
      <c r="E1942" s="31">
        <v>26606</v>
      </c>
      <c r="F1942" s="29"/>
      <c r="G1942" s="32">
        <v>45773</v>
      </c>
      <c r="H1942" s="29"/>
      <c r="I1942" s="5" t="s">
        <v>15</v>
      </c>
      <c r="J1942" s="5" t="s">
        <v>16</v>
      </c>
      <c r="K1942" s="5" t="s">
        <v>17</v>
      </c>
    </row>
    <row r="1943" spans="1:11" ht="18.75" customHeight="1" x14ac:dyDescent="0.3">
      <c r="A1943" s="30">
        <v>1961</v>
      </c>
      <c r="B1943" s="29"/>
      <c r="C1943" s="5" t="s">
        <v>14</v>
      </c>
      <c r="D1943" s="7">
        <v>343</v>
      </c>
      <c r="E1943" s="31">
        <v>152842</v>
      </c>
      <c r="F1943" s="29"/>
      <c r="G1943" s="32">
        <v>45763</v>
      </c>
      <c r="H1943" s="29"/>
      <c r="I1943" s="5" t="s">
        <v>28</v>
      </c>
      <c r="J1943" s="5" t="s">
        <v>66</v>
      </c>
      <c r="K1943" s="5" t="s">
        <v>30</v>
      </c>
    </row>
    <row r="1944" spans="1:11" ht="18.75" customHeight="1" x14ac:dyDescent="0.3">
      <c r="A1944" s="30">
        <v>1962</v>
      </c>
      <c r="B1944" s="29"/>
      <c r="C1944" s="5" t="s">
        <v>14</v>
      </c>
      <c r="D1944" s="7">
        <v>270</v>
      </c>
      <c r="E1944" s="31">
        <v>144607</v>
      </c>
      <c r="F1944" s="29"/>
      <c r="G1944" s="32">
        <v>45768</v>
      </c>
      <c r="H1944" s="29"/>
      <c r="I1944" s="5" t="s">
        <v>28</v>
      </c>
      <c r="J1944" s="5" t="s">
        <v>66</v>
      </c>
      <c r="K1944" s="5" t="s">
        <v>30</v>
      </c>
    </row>
    <row r="1945" spans="1:11" ht="18.75" customHeight="1" x14ac:dyDescent="0.3">
      <c r="A1945" s="30">
        <v>1963</v>
      </c>
      <c r="B1945" s="29"/>
      <c r="C1945" s="5" t="s">
        <v>14</v>
      </c>
      <c r="D1945" s="7">
        <v>316</v>
      </c>
      <c r="E1945" s="31">
        <v>26566</v>
      </c>
      <c r="F1945" s="29"/>
      <c r="G1945" s="32">
        <v>45769</v>
      </c>
      <c r="H1945" s="29"/>
      <c r="I1945" s="5" t="s">
        <v>28</v>
      </c>
      <c r="J1945" s="5" t="s">
        <v>66</v>
      </c>
      <c r="K1945" s="5" t="s">
        <v>30</v>
      </c>
    </row>
    <row r="1946" spans="1:11" ht="18.75" customHeight="1" x14ac:dyDescent="0.3">
      <c r="A1946" s="30">
        <v>1964</v>
      </c>
      <c r="B1946" s="29"/>
      <c r="C1946" s="5" t="s">
        <v>14</v>
      </c>
      <c r="D1946" s="7">
        <v>367</v>
      </c>
      <c r="E1946" s="31">
        <v>26578</v>
      </c>
      <c r="F1946" s="29"/>
      <c r="G1946" s="32">
        <v>45770</v>
      </c>
      <c r="H1946" s="29"/>
      <c r="I1946" s="5" t="s">
        <v>28</v>
      </c>
      <c r="J1946" s="5" t="s">
        <v>66</v>
      </c>
      <c r="K1946" s="5" t="s">
        <v>30</v>
      </c>
    </row>
    <row r="1947" spans="1:11" ht="18.75" customHeight="1" x14ac:dyDescent="0.3">
      <c r="A1947" s="30">
        <v>1965</v>
      </c>
      <c r="B1947" s="29"/>
      <c r="C1947" s="5" t="s">
        <v>14</v>
      </c>
      <c r="D1947" s="7">
        <v>275</v>
      </c>
      <c r="E1947" s="31">
        <v>26605</v>
      </c>
      <c r="F1947" s="29"/>
      <c r="G1947" s="32">
        <v>45773</v>
      </c>
      <c r="H1947" s="29"/>
      <c r="I1947" s="5" t="s">
        <v>19</v>
      </c>
      <c r="J1947" s="5" t="s">
        <v>20</v>
      </c>
      <c r="K1947" s="5" t="s">
        <v>100</v>
      </c>
    </row>
    <row r="1948" spans="1:11" ht="18.75" customHeight="1" x14ac:dyDescent="0.3">
      <c r="A1948" s="30">
        <v>1966</v>
      </c>
      <c r="B1948" s="29"/>
      <c r="C1948" s="5" t="s">
        <v>14</v>
      </c>
      <c r="D1948" s="7">
        <v>261</v>
      </c>
      <c r="E1948" s="31">
        <v>26628</v>
      </c>
      <c r="F1948" s="29"/>
      <c r="G1948" s="32">
        <v>45775</v>
      </c>
      <c r="H1948" s="29"/>
      <c r="I1948" s="5" t="s">
        <v>54</v>
      </c>
      <c r="J1948" s="5" t="s">
        <v>20</v>
      </c>
      <c r="K1948" s="5" t="s">
        <v>16</v>
      </c>
    </row>
    <row r="1949" spans="1:11" ht="18.75" customHeight="1" x14ac:dyDescent="0.3">
      <c r="A1949" s="30">
        <v>1967</v>
      </c>
      <c r="B1949" s="29"/>
      <c r="C1949" s="5" t="s">
        <v>14</v>
      </c>
      <c r="D1949" s="7">
        <v>303</v>
      </c>
      <c r="E1949" s="31">
        <v>26668</v>
      </c>
      <c r="F1949" s="29"/>
      <c r="G1949" s="32">
        <v>45779</v>
      </c>
      <c r="H1949" s="29"/>
      <c r="I1949" s="5" t="s">
        <v>54</v>
      </c>
      <c r="J1949" s="5" t="s">
        <v>20</v>
      </c>
      <c r="K1949" s="5" t="s">
        <v>16</v>
      </c>
    </row>
    <row r="1950" spans="1:11" ht="18.75" customHeight="1" x14ac:dyDescent="0.3">
      <c r="A1950" s="30">
        <v>1968</v>
      </c>
      <c r="B1950" s="29"/>
      <c r="C1950" s="5" t="s">
        <v>14</v>
      </c>
      <c r="D1950" s="7">
        <v>180</v>
      </c>
      <c r="E1950" s="31">
        <v>26681</v>
      </c>
      <c r="F1950" s="29"/>
      <c r="G1950" s="32">
        <v>45781</v>
      </c>
      <c r="H1950" s="29"/>
      <c r="I1950" s="5" t="s">
        <v>19</v>
      </c>
      <c r="J1950" s="5" t="s">
        <v>20</v>
      </c>
      <c r="K1950" s="5" t="s">
        <v>97</v>
      </c>
    </row>
    <row r="1951" spans="1:11" ht="18.75" customHeight="1" x14ac:dyDescent="0.3">
      <c r="A1951" s="30">
        <v>1969</v>
      </c>
      <c r="B1951" s="29"/>
      <c r="C1951" s="5" t="s">
        <v>14</v>
      </c>
      <c r="D1951" s="7">
        <v>273</v>
      </c>
      <c r="E1951" s="31">
        <v>26625</v>
      </c>
      <c r="F1951" s="29"/>
      <c r="G1951" s="32">
        <v>45775</v>
      </c>
      <c r="H1951" s="29"/>
      <c r="I1951" s="5" t="s">
        <v>95</v>
      </c>
      <c r="J1951" s="5" t="s">
        <v>96</v>
      </c>
      <c r="K1951" s="5" t="s">
        <v>93</v>
      </c>
    </row>
    <row r="1952" spans="1:11" ht="18.75" customHeight="1" x14ac:dyDescent="0.3">
      <c r="A1952" s="30">
        <v>1970</v>
      </c>
      <c r="B1952" s="29"/>
      <c r="C1952" s="5" t="s">
        <v>14</v>
      </c>
      <c r="D1952" s="7">
        <v>236</v>
      </c>
      <c r="E1952" s="31">
        <v>26639</v>
      </c>
      <c r="F1952" s="29"/>
      <c r="G1952" s="32">
        <v>45776</v>
      </c>
      <c r="H1952" s="29"/>
      <c r="I1952" s="5" t="s">
        <v>95</v>
      </c>
      <c r="J1952" s="5" t="s">
        <v>96</v>
      </c>
      <c r="K1952" s="5" t="s">
        <v>93</v>
      </c>
    </row>
    <row r="1953" spans="1:11" ht="18.75" customHeight="1" x14ac:dyDescent="0.3">
      <c r="A1953" s="30">
        <v>1971</v>
      </c>
      <c r="B1953" s="29"/>
      <c r="C1953" s="5" t="s">
        <v>14</v>
      </c>
      <c r="D1953" s="7">
        <v>282</v>
      </c>
      <c r="E1953" s="31">
        <v>26644</v>
      </c>
      <c r="F1953" s="29"/>
      <c r="G1953" s="32">
        <v>45777</v>
      </c>
      <c r="H1953" s="29"/>
      <c r="I1953" s="5" t="s">
        <v>95</v>
      </c>
      <c r="J1953" s="5" t="s">
        <v>96</v>
      </c>
      <c r="K1953" s="5" t="s">
        <v>93</v>
      </c>
    </row>
    <row r="1954" spans="1:11" ht="18.75" customHeight="1" x14ac:dyDescent="0.3">
      <c r="A1954" s="30">
        <v>1972</v>
      </c>
      <c r="B1954" s="29"/>
      <c r="C1954" s="5" t="s">
        <v>14</v>
      </c>
      <c r="D1954" s="7">
        <v>266</v>
      </c>
      <c r="E1954" s="31">
        <v>26652</v>
      </c>
      <c r="F1954" s="29"/>
      <c r="G1954" s="32">
        <v>45778</v>
      </c>
      <c r="H1954" s="29"/>
      <c r="I1954" s="5" t="s">
        <v>95</v>
      </c>
      <c r="J1954" s="5" t="s">
        <v>96</v>
      </c>
      <c r="K1954" s="5" t="s">
        <v>93</v>
      </c>
    </row>
    <row r="1955" spans="1:11" ht="18.75" customHeight="1" x14ac:dyDescent="0.3">
      <c r="A1955" s="30">
        <v>1973</v>
      </c>
      <c r="B1955" s="29"/>
      <c r="C1955" s="5" t="s">
        <v>14</v>
      </c>
      <c r="D1955" s="7">
        <v>238</v>
      </c>
      <c r="E1955" s="31">
        <v>26674</v>
      </c>
      <c r="F1955" s="29"/>
      <c r="G1955" s="32">
        <v>45780</v>
      </c>
      <c r="H1955" s="29"/>
      <c r="I1955" s="5" t="s">
        <v>95</v>
      </c>
      <c r="J1955" s="5" t="s">
        <v>96</v>
      </c>
      <c r="K1955" s="5" t="s">
        <v>93</v>
      </c>
    </row>
    <row r="1956" spans="1:11" ht="18.75" customHeight="1" x14ac:dyDescent="0.3">
      <c r="A1956" s="30">
        <v>1974</v>
      </c>
      <c r="B1956" s="29"/>
      <c r="C1956" s="5" t="s">
        <v>14</v>
      </c>
      <c r="D1956" s="7">
        <v>165</v>
      </c>
      <c r="E1956" s="31">
        <v>26615</v>
      </c>
      <c r="F1956" s="29"/>
      <c r="G1956" s="32">
        <v>45774</v>
      </c>
      <c r="H1956" s="29"/>
      <c r="I1956" s="5" t="s">
        <v>28</v>
      </c>
      <c r="J1956" s="5" t="s">
        <v>66</v>
      </c>
      <c r="K1956" s="5" t="s">
        <v>30</v>
      </c>
    </row>
    <row r="1957" spans="1:11" ht="18.75" customHeight="1" x14ac:dyDescent="0.3">
      <c r="A1957" s="30">
        <v>1975</v>
      </c>
      <c r="B1957" s="29"/>
      <c r="C1957" s="5" t="s">
        <v>14</v>
      </c>
      <c r="D1957" s="7">
        <v>211</v>
      </c>
      <c r="E1957" s="31">
        <v>26636</v>
      </c>
      <c r="F1957" s="29"/>
      <c r="G1957" s="32">
        <v>45776</v>
      </c>
      <c r="H1957" s="29"/>
      <c r="I1957" s="5" t="s">
        <v>28</v>
      </c>
      <c r="J1957" s="5" t="s">
        <v>66</v>
      </c>
      <c r="K1957" s="5" t="s">
        <v>30</v>
      </c>
    </row>
    <row r="1958" spans="1:11" ht="18.75" customHeight="1" x14ac:dyDescent="0.3">
      <c r="A1958" s="30">
        <v>1976</v>
      </c>
      <c r="B1958" s="29"/>
      <c r="C1958" s="5" t="s">
        <v>14</v>
      </c>
      <c r="D1958" s="7">
        <v>357</v>
      </c>
      <c r="E1958" s="31">
        <v>26645</v>
      </c>
      <c r="F1958" s="29"/>
      <c r="G1958" s="32">
        <v>45777</v>
      </c>
      <c r="H1958" s="29"/>
      <c r="I1958" s="5" t="s">
        <v>28</v>
      </c>
      <c r="J1958" s="5" t="s">
        <v>66</v>
      </c>
      <c r="K1958" s="5" t="s">
        <v>30</v>
      </c>
    </row>
    <row r="1959" spans="1:11" ht="18.75" customHeight="1" x14ac:dyDescent="0.3">
      <c r="A1959" s="30">
        <v>1977</v>
      </c>
      <c r="B1959" s="29"/>
      <c r="C1959" s="5" t="s">
        <v>14</v>
      </c>
      <c r="D1959" s="7">
        <v>204</v>
      </c>
      <c r="E1959" s="31">
        <v>26654</v>
      </c>
      <c r="F1959" s="29"/>
      <c r="G1959" s="32">
        <v>45778</v>
      </c>
      <c r="H1959" s="29"/>
      <c r="I1959" s="5" t="s">
        <v>28</v>
      </c>
      <c r="J1959" s="5" t="s">
        <v>66</v>
      </c>
      <c r="K1959" s="5" t="s">
        <v>30</v>
      </c>
    </row>
    <row r="1960" spans="1:11" ht="18.75" customHeight="1" x14ac:dyDescent="0.3">
      <c r="A1960" s="30">
        <v>1978</v>
      </c>
      <c r="B1960" s="29"/>
      <c r="C1960" s="5" t="s">
        <v>14</v>
      </c>
      <c r="D1960" s="7">
        <v>466</v>
      </c>
      <c r="E1960" s="31">
        <v>26665</v>
      </c>
      <c r="F1960" s="29"/>
      <c r="G1960" s="32">
        <v>45779</v>
      </c>
      <c r="H1960" s="29"/>
      <c r="I1960" s="5" t="s">
        <v>28</v>
      </c>
      <c r="J1960" s="5" t="s">
        <v>66</v>
      </c>
      <c r="K1960" s="5" t="s">
        <v>30</v>
      </c>
    </row>
    <row r="1961" spans="1:11" ht="18.75" customHeight="1" x14ac:dyDescent="0.3">
      <c r="A1961" s="30">
        <v>1979</v>
      </c>
      <c r="B1961" s="29"/>
      <c r="C1961" s="5" t="s">
        <v>14</v>
      </c>
      <c r="D1961" s="7">
        <v>259</v>
      </c>
      <c r="E1961" s="31">
        <v>26675</v>
      </c>
      <c r="F1961" s="29"/>
      <c r="G1961" s="32">
        <v>45780</v>
      </c>
      <c r="H1961" s="29"/>
      <c r="I1961" s="5" t="s">
        <v>28</v>
      </c>
      <c r="J1961" s="5" t="s">
        <v>66</v>
      </c>
      <c r="K1961" s="5" t="s">
        <v>30</v>
      </c>
    </row>
    <row r="1962" spans="1:11" ht="18.75" customHeight="1" x14ac:dyDescent="0.3">
      <c r="A1962" s="30">
        <v>1980</v>
      </c>
      <c r="B1962" s="29"/>
      <c r="C1962" s="5" t="s">
        <v>14</v>
      </c>
      <c r="D1962" s="7">
        <v>204</v>
      </c>
      <c r="E1962" s="31">
        <v>26683</v>
      </c>
      <c r="F1962" s="29"/>
      <c r="G1962" s="32">
        <v>45781</v>
      </c>
      <c r="H1962" s="29"/>
      <c r="I1962" s="5" t="s">
        <v>28</v>
      </c>
      <c r="J1962" s="5" t="s">
        <v>66</v>
      </c>
      <c r="K1962" s="5" t="s">
        <v>30</v>
      </c>
    </row>
    <row r="1963" spans="1:11" ht="18.75" customHeight="1" x14ac:dyDescent="0.3">
      <c r="A1963" s="30">
        <v>1981</v>
      </c>
      <c r="B1963" s="29"/>
      <c r="C1963" s="5" t="s">
        <v>14</v>
      </c>
      <c r="D1963" s="7">
        <v>244</v>
      </c>
      <c r="E1963" s="31">
        <v>26673</v>
      </c>
      <c r="F1963" s="29"/>
      <c r="G1963" s="32">
        <v>45780</v>
      </c>
      <c r="H1963" s="29"/>
      <c r="I1963" s="5" t="s">
        <v>54</v>
      </c>
      <c r="J1963" s="5" t="s">
        <v>20</v>
      </c>
      <c r="K1963" s="5" t="s">
        <v>16</v>
      </c>
    </row>
    <row r="1964" spans="1:11" ht="18.75" customHeight="1" x14ac:dyDescent="0.3">
      <c r="A1964" s="30">
        <v>1982</v>
      </c>
      <c r="B1964" s="29"/>
      <c r="C1964" s="5" t="s">
        <v>14</v>
      </c>
      <c r="D1964" s="7">
        <v>331</v>
      </c>
      <c r="E1964" s="31">
        <v>26692</v>
      </c>
      <c r="F1964" s="29"/>
      <c r="G1964" s="32">
        <v>45782</v>
      </c>
      <c r="H1964" s="29"/>
      <c r="I1964" s="5" t="s">
        <v>54</v>
      </c>
      <c r="J1964" s="5" t="s">
        <v>20</v>
      </c>
      <c r="K1964" s="5" t="s">
        <v>16</v>
      </c>
    </row>
    <row r="1965" spans="1:11" ht="18.75" customHeight="1" x14ac:dyDescent="0.3">
      <c r="A1965" s="30">
        <v>1983</v>
      </c>
      <c r="B1965" s="29"/>
      <c r="C1965" s="5" t="s">
        <v>14</v>
      </c>
      <c r="D1965" s="7">
        <v>307</v>
      </c>
      <c r="E1965" s="31">
        <v>26704</v>
      </c>
      <c r="F1965" s="29"/>
      <c r="G1965" s="32">
        <v>45783</v>
      </c>
      <c r="H1965" s="29"/>
      <c r="I1965" s="5" t="s">
        <v>54</v>
      </c>
      <c r="J1965" s="5" t="s">
        <v>20</v>
      </c>
      <c r="K1965" s="5" t="s">
        <v>16</v>
      </c>
    </row>
    <row r="1966" spans="1:11" ht="18.75" customHeight="1" x14ac:dyDescent="0.3">
      <c r="A1966" s="30">
        <v>1984</v>
      </c>
      <c r="B1966" s="29"/>
      <c r="C1966" s="5" t="s">
        <v>14</v>
      </c>
      <c r="D1966" s="7">
        <v>283</v>
      </c>
      <c r="E1966" s="31">
        <v>26714</v>
      </c>
      <c r="F1966" s="29"/>
      <c r="G1966" s="32">
        <v>45784</v>
      </c>
      <c r="H1966" s="29"/>
      <c r="I1966" s="5" t="s">
        <v>54</v>
      </c>
      <c r="J1966" s="5" t="s">
        <v>20</v>
      </c>
      <c r="K1966" s="5" t="s">
        <v>21</v>
      </c>
    </row>
    <row r="1967" spans="1:11" ht="18.75" customHeight="1" x14ac:dyDescent="0.3">
      <c r="A1967" s="30">
        <v>1985</v>
      </c>
      <c r="B1967" s="29"/>
      <c r="C1967" s="5" t="s">
        <v>14</v>
      </c>
      <c r="D1967" s="7">
        <v>235</v>
      </c>
      <c r="E1967" s="31">
        <v>26724</v>
      </c>
      <c r="F1967" s="29"/>
      <c r="G1967" s="32">
        <v>45785</v>
      </c>
      <c r="H1967" s="29"/>
      <c r="I1967" s="5" t="s">
        <v>19</v>
      </c>
      <c r="J1967" s="5" t="s">
        <v>20</v>
      </c>
      <c r="K1967" s="5" t="s">
        <v>21</v>
      </c>
    </row>
    <row r="1968" spans="1:11" ht="18.75" customHeight="1" x14ac:dyDescent="0.3">
      <c r="A1968" s="30">
        <v>1986</v>
      </c>
      <c r="B1968" s="29"/>
      <c r="C1968" s="5" t="s">
        <v>14</v>
      </c>
      <c r="D1968" s="7">
        <v>227</v>
      </c>
      <c r="E1968" s="31">
        <v>26730</v>
      </c>
      <c r="F1968" s="29"/>
      <c r="G1968" s="32">
        <v>45786</v>
      </c>
      <c r="H1968" s="29"/>
      <c r="I1968" s="5" t="s">
        <v>19</v>
      </c>
      <c r="J1968" s="5" t="s">
        <v>20</v>
      </c>
      <c r="K1968" s="5" t="s">
        <v>21</v>
      </c>
    </row>
    <row r="1969" spans="1:11" ht="18.75" customHeight="1" x14ac:dyDescent="0.3">
      <c r="A1969" s="30">
        <v>1987</v>
      </c>
      <c r="B1969" s="29"/>
      <c r="C1969" s="5" t="s">
        <v>14</v>
      </c>
      <c r="D1969" s="7">
        <v>151</v>
      </c>
      <c r="E1969" s="31">
        <v>144745</v>
      </c>
      <c r="F1969" s="29"/>
      <c r="G1969" s="32">
        <v>45777</v>
      </c>
      <c r="H1969" s="29"/>
      <c r="I1969" s="5" t="s">
        <v>54</v>
      </c>
      <c r="J1969" s="5" t="s">
        <v>20</v>
      </c>
      <c r="K1969" s="5" t="s">
        <v>16</v>
      </c>
    </row>
    <row r="1970" spans="1:11" ht="18.75" customHeight="1" x14ac:dyDescent="0.3">
      <c r="A1970" s="30">
        <v>1988</v>
      </c>
      <c r="B1970" s="29"/>
      <c r="C1970" s="5" t="s">
        <v>14</v>
      </c>
      <c r="D1970" s="7">
        <v>399</v>
      </c>
      <c r="E1970" s="31">
        <v>26693</v>
      </c>
      <c r="F1970" s="29"/>
      <c r="G1970" s="32">
        <v>45782</v>
      </c>
      <c r="H1970" s="29"/>
      <c r="I1970" s="5" t="s">
        <v>95</v>
      </c>
      <c r="J1970" s="5" t="s">
        <v>96</v>
      </c>
      <c r="K1970" s="5" t="s">
        <v>93</v>
      </c>
    </row>
    <row r="1971" spans="1:11" ht="18.75" customHeight="1" x14ac:dyDescent="0.3">
      <c r="A1971" s="30">
        <v>1989</v>
      </c>
      <c r="B1971" s="29"/>
      <c r="C1971" s="5" t="s">
        <v>14</v>
      </c>
      <c r="D1971" s="7">
        <v>260</v>
      </c>
      <c r="E1971" s="31">
        <v>26708</v>
      </c>
      <c r="F1971" s="29"/>
      <c r="G1971" s="32">
        <v>45784</v>
      </c>
      <c r="H1971" s="29"/>
      <c r="I1971" s="5" t="s">
        <v>15</v>
      </c>
      <c r="J1971" s="5" t="s">
        <v>16</v>
      </c>
      <c r="K1971" s="5" t="s">
        <v>17</v>
      </c>
    </row>
    <row r="1972" spans="1:11" ht="18.75" customHeight="1" x14ac:dyDescent="0.3">
      <c r="A1972" s="30">
        <v>1990</v>
      </c>
      <c r="B1972" s="29"/>
      <c r="C1972" s="5" t="s">
        <v>14</v>
      </c>
      <c r="D1972" s="7">
        <v>483</v>
      </c>
      <c r="E1972" s="31">
        <v>26732</v>
      </c>
      <c r="F1972" s="29"/>
      <c r="G1972" s="32">
        <v>45786</v>
      </c>
      <c r="H1972" s="29"/>
      <c r="I1972" s="5" t="s">
        <v>15</v>
      </c>
      <c r="J1972" s="5" t="s">
        <v>16</v>
      </c>
      <c r="K1972" s="5" t="s">
        <v>17</v>
      </c>
    </row>
    <row r="1973" spans="1:11" ht="18.75" customHeight="1" x14ac:dyDescent="0.3">
      <c r="A1973" s="30">
        <v>1991</v>
      </c>
      <c r="B1973" s="29"/>
      <c r="C1973" s="5" t="s">
        <v>14</v>
      </c>
      <c r="D1973" s="7">
        <v>478</v>
      </c>
      <c r="E1973" s="31">
        <v>26737</v>
      </c>
      <c r="F1973" s="29"/>
      <c r="G1973" s="32">
        <v>45787</v>
      </c>
      <c r="H1973" s="29"/>
      <c r="I1973" s="5" t="s">
        <v>15</v>
      </c>
      <c r="J1973" s="5" t="s">
        <v>16</v>
      </c>
      <c r="K1973" s="5" t="s">
        <v>17</v>
      </c>
    </row>
    <row r="1974" spans="1:11" ht="18.75" customHeight="1" x14ac:dyDescent="0.3">
      <c r="A1974" s="30">
        <v>1992</v>
      </c>
      <c r="B1974" s="29"/>
      <c r="C1974" s="5" t="s">
        <v>14</v>
      </c>
      <c r="D1974" s="7">
        <v>413</v>
      </c>
      <c r="E1974" s="31">
        <v>26696</v>
      </c>
      <c r="F1974" s="29"/>
      <c r="G1974" s="32">
        <v>45782</v>
      </c>
      <c r="H1974" s="29"/>
      <c r="I1974" s="5" t="s">
        <v>28</v>
      </c>
      <c r="J1974" s="5" t="s">
        <v>66</v>
      </c>
      <c r="K1974" s="5" t="s">
        <v>30</v>
      </c>
    </row>
    <row r="1975" spans="1:11" ht="18.75" customHeight="1" x14ac:dyDescent="0.3">
      <c r="A1975" s="30">
        <v>1993</v>
      </c>
      <c r="B1975" s="29"/>
      <c r="C1975" s="5" t="s">
        <v>14</v>
      </c>
      <c r="D1975" s="7">
        <v>219</v>
      </c>
      <c r="E1975" s="31">
        <v>26701</v>
      </c>
      <c r="F1975" s="29"/>
      <c r="G1975" s="32">
        <v>45783</v>
      </c>
      <c r="H1975" s="29"/>
      <c r="I1975" s="5" t="s">
        <v>28</v>
      </c>
      <c r="J1975" s="5" t="s">
        <v>66</v>
      </c>
      <c r="K1975" s="5" t="s">
        <v>30</v>
      </c>
    </row>
    <row r="1976" spans="1:11" ht="18.75" customHeight="1" x14ac:dyDescent="0.3">
      <c r="A1976" s="30">
        <v>1994</v>
      </c>
      <c r="B1976" s="29"/>
      <c r="C1976" s="5" t="s">
        <v>14</v>
      </c>
      <c r="D1976" s="7">
        <v>132</v>
      </c>
      <c r="E1976" s="31">
        <v>26711</v>
      </c>
      <c r="F1976" s="29"/>
      <c r="G1976" s="32">
        <v>45784</v>
      </c>
      <c r="H1976" s="29"/>
      <c r="I1976" s="5" t="s">
        <v>28</v>
      </c>
      <c r="J1976" s="5" t="s">
        <v>66</v>
      </c>
      <c r="K1976" s="5" t="s">
        <v>30</v>
      </c>
    </row>
    <row r="1977" spans="1:11" ht="18.75" customHeight="1" x14ac:dyDescent="0.3">
      <c r="A1977" s="30">
        <v>1995</v>
      </c>
      <c r="B1977" s="29"/>
      <c r="C1977" s="5" t="s">
        <v>14</v>
      </c>
      <c r="D1977" s="7">
        <v>234</v>
      </c>
      <c r="E1977" s="31">
        <v>26718</v>
      </c>
      <c r="F1977" s="29"/>
      <c r="G1977" s="32">
        <v>45785</v>
      </c>
      <c r="H1977" s="29"/>
      <c r="I1977" s="5" t="s">
        <v>28</v>
      </c>
      <c r="J1977" s="5" t="s">
        <v>66</v>
      </c>
      <c r="K1977" s="5" t="s">
        <v>30</v>
      </c>
    </row>
    <row r="1978" spans="1:11" ht="18.75" customHeight="1" x14ac:dyDescent="0.3">
      <c r="A1978" s="30">
        <v>1996</v>
      </c>
      <c r="B1978" s="29"/>
      <c r="C1978" s="5" t="s">
        <v>14</v>
      </c>
      <c r="D1978" s="7">
        <v>423</v>
      </c>
      <c r="E1978" s="31">
        <v>26738</v>
      </c>
      <c r="F1978" s="29"/>
      <c r="G1978" s="32">
        <v>45787</v>
      </c>
      <c r="H1978" s="29"/>
      <c r="I1978" s="5" t="s">
        <v>28</v>
      </c>
      <c r="J1978" s="5" t="s">
        <v>66</v>
      </c>
      <c r="K1978" s="5" t="s">
        <v>30</v>
      </c>
    </row>
    <row r="1979" spans="1:11" ht="18.75" customHeight="1" x14ac:dyDescent="0.3">
      <c r="A1979" s="30">
        <v>1997</v>
      </c>
      <c r="B1979" s="29"/>
      <c r="C1979" s="5" t="s">
        <v>14</v>
      </c>
      <c r="D1979" s="7">
        <v>471</v>
      </c>
      <c r="E1979" s="31">
        <v>26750</v>
      </c>
      <c r="F1979" s="29"/>
      <c r="G1979" s="32">
        <v>45788</v>
      </c>
      <c r="H1979" s="29"/>
      <c r="I1979" s="5" t="s">
        <v>28</v>
      </c>
      <c r="J1979" s="5" t="s">
        <v>66</v>
      </c>
      <c r="K1979" s="5" t="s">
        <v>30</v>
      </c>
    </row>
    <row r="1980" spans="1:11" ht="18.75" customHeight="1" x14ac:dyDescent="0.3">
      <c r="A1980" s="30">
        <v>1998</v>
      </c>
      <c r="B1980" s="29"/>
      <c r="C1980" s="5" t="s">
        <v>14</v>
      </c>
      <c r="D1980" s="7">
        <v>387</v>
      </c>
      <c r="E1980" s="31">
        <v>26757</v>
      </c>
      <c r="F1980" s="29"/>
      <c r="G1980" s="32">
        <v>45790</v>
      </c>
      <c r="H1980" s="29"/>
      <c r="I1980" s="5" t="s">
        <v>19</v>
      </c>
      <c r="J1980" s="5" t="s">
        <v>20</v>
      </c>
      <c r="K1980" s="5" t="s">
        <v>21</v>
      </c>
    </row>
    <row r="1981" spans="1:11" ht="18.75" customHeight="1" x14ac:dyDescent="0.3">
      <c r="A1981" s="30">
        <v>1999</v>
      </c>
      <c r="B1981" s="29"/>
      <c r="C1981" s="5" t="s">
        <v>14</v>
      </c>
      <c r="D1981" s="7">
        <v>295</v>
      </c>
      <c r="E1981" s="31">
        <v>26781</v>
      </c>
      <c r="F1981" s="29"/>
      <c r="G1981" s="32">
        <v>45792</v>
      </c>
      <c r="H1981" s="29"/>
      <c r="I1981" s="5" t="s">
        <v>19</v>
      </c>
      <c r="J1981" s="5" t="s">
        <v>20</v>
      </c>
      <c r="K1981" s="5" t="s">
        <v>21</v>
      </c>
    </row>
    <row r="1982" spans="1:11" ht="18.75" customHeight="1" x14ac:dyDescent="0.3">
      <c r="A1982" s="30">
        <v>2000</v>
      </c>
      <c r="B1982" s="29"/>
      <c r="C1982" s="5" t="s">
        <v>14</v>
      </c>
      <c r="D1982" s="7">
        <v>226</v>
      </c>
      <c r="E1982" s="31">
        <v>26797</v>
      </c>
      <c r="F1982" s="29"/>
      <c r="G1982" s="32">
        <v>45793</v>
      </c>
      <c r="H1982" s="29"/>
      <c r="I1982" s="5" t="s">
        <v>19</v>
      </c>
      <c r="J1982" s="5" t="s">
        <v>20</v>
      </c>
      <c r="K1982" s="5" t="s">
        <v>21</v>
      </c>
    </row>
    <row r="1983" spans="1:11" ht="18.75" customHeight="1" x14ac:dyDescent="0.3">
      <c r="A1983" s="30">
        <v>2001</v>
      </c>
      <c r="B1983" s="29"/>
      <c r="C1983" s="5" t="s">
        <v>14</v>
      </c>
      <c r="D1983" s="7">
        <v>213</v>
      </c>
      <c r="E1983" s="31">
        <v>26810</v>
      </c>
      <c r="F1983" s="29"/>
      <c r="G1983" s="32">
        <v>45794</v>
      </c>
      <c r="H1983" s="29"/>
      <c r="I1983" s="5" t="s">
        <v>19</v>
      </c>
      <c r="J1983" s="5" t="s">
        <v>20</v>
      </c>
      <c r="K1983" s="5" t="s">
        <v>21</v>
      </c>
    </row>
    <row r="1984" spans="1:11" ht="18.75" customHeight="1" x14ac:dyDescent="0.3">
      <c r="A1984" s="30">
        <v>2002</v>
      </c>
      <c r="B1984" s="29"/>
      <c r="C1984" s="5" t="s">
        <v>14</v>
      </c>
      <c r="D1984" s="7">
        <v>490</v>
      </c>
      <c r="E1984" s="31">
        <v>26771</v>
      </c>
      <c r="F1984" s="29"/>
      <c r="G1984" s="32">
        <v>45791</v>
      </c>
      <c r="H1984" s="29"/>
      <c r="I1984" s="5" t="s">
        <v>15</v>
      </c>
      <c r="J1984" s="5" t="s">
        <v>16</v>
      </c>
      <c r="K1984" s="5" t="s">
        <v>17</v>
      </c>
    </row>
    <row r="1985" spans="1:11" ht="18.75" customHeight="1" x14ac:dyDescent="0.3">
      <c r="A1985" s="30">
        <v>2003</v>
      </c>
      <c r="B1985" s="29"/>
      <c r="C1985" s="5" t="s">
        <v>14</v>
      </c>
      <c r="D1985" s="7">
        <v>378</v>
      </c>
      <c r="E1985" s="31">
        <v>26783</v>
      </c>
      <c r="F1985" s="29"/>
      <c r="G1985" s="32">
        <v>45792</v>
      </c>
      <c r="H1985" s="29"/>
      <c r="I1985" s="5" t="s">
        <v>15</v>
      </c>
      <c r="J1985" s="5" t="s">
        <v>16</v>
      </c>
      <c r="K1985" s="5" t="s">
        <v>17</v>
      </c>
    </row>
    <row r="1986" spans="1:11" ht="18.75" customHeight="1" x14ac:dyDescent="0.3">
      <c r="A1986" s="30">
        <v>2004</v>
      </c>
      <c r="B1986" s="29"/>
      <c r="C1986" s="5" t="s">
        <v>14</v>
      </c>
      <c r="D1986" s="7">
        <v>618</v>
      </c>
      <c r="E1986" s="31">
        <v>26760</v>
      </c>
      <c r="F1986" s="29"/>
      <c r="G1986" s="32">
        <v>45790</v>
      </c>
      <c r="H1986" s="29"/>
      <c r="I1986" s="5" t="s">
        <v>28</v>
      </c>
      <c r="J1986" s="5" t="s">
        <v>66</v>
      </c>
      <c r="K1986" s="5" t="s">
        <v>30</v>
      </c>
    </row>
    <row r="1987" spans="1:11" ht="18.75" customHeight="1" x14ac:dyDescent="0.3">
      <c r="A1987" s="30">
        <v>2005</v>
      </c>
      <c r="B1987" s="29"/>
      <c r="C1987" s="5" t="s">
        <v>14</v>
      </c>
      <c r="D1987" s="7">
        <v>315</v>
      </c>
      <c r="E1987" s="31">
        <v>26785</v>
      </c>
      <c r="F1987" s="29"/>
      <c r="G1987" s="32">
        <v>45792</v>
      </c>
      <c r="H1987" s="29"/>
      <c r="I1987" s="5" t="s">
        <v>28</v>
      </c>
      <c r="J1987" s="5" t="s">
        <v>66</v>
      </c>
      <c r="K1987" s="5" t="s">
        <v>30</v>
      </c>
    </row>
    <row r="1988" spans="1:11" ht="18.75" customHeight="1" x14ac:dyDescent="0.3">
      <c r="A1988" s="30">
        <v>2006</v>
      </c>
      <c r="B1988" s="29"/>
      <c r="C1988" s="5" t="s">
        <v>14</v>
      </c>
      <c r="D1988" s="7">
        <v>488</v>
      </c>
      <c r="E1988" s="31">
        <v>26798</v>
      </c>
      <c r="F1988" s="29"/>
      <c r="G1988" s="32">
        <v>45793</v>
      </c>
      <c r="H1988" s="29"/>
      <c r="I1988" s="5" t="s">
        <v>28</v>
      </c>
      <c r="J1988" s="5" t="s">
        <v>66</v>
      </c>
      <c r="K1988" s="5" t="s">
        <v>30</v>
      </c>
    </row>
    <row r="1989" spans="1:11" ht="18.75" customHeight="1" x14ac:dyDescent="0.3">
      <c r="A1989" s="30">
        <v>2007</v>
      </c>
      <c r="B1989" s="29"/>
      <c r="C1989" s="5" t="s">
        <v>14</v>
      </c>
      <c r="D1989" s="7">
        <v>355</v>
      </c>
      <c r="E1989" s="31">
        <v>26809</v>
      </c>
      <c r="F1989" s="29"/>
      <c r="G1989" s="32">
        <v>45794</v>
      </c>
      <c r="H1989" s="29"/>
      <c r="I1989" s="5" t="s">
        <v>28</v>
      </c>
      <c r="J1989" s="5" t="s">
        <v>66</v>
      </c>
      <c r="K1989" s="5" t="s">
        <v>30</v>
      </c>
    </row>
    <row r="1990" spans="1:11" ht="18.75" customHeight="1" x14ac:dyDescent="0.3">
      <c r="A1990" s="30">
        <v>2008</v>
      </c>
      <c r="B1990" s="29"/>
      <c r="C1990" s="5" t="s">
        <v>14</v>
      </c>
      <c r="D1990" s="7">
        <v>246</v>
      </c>
      <c r="E1990" s="31">
        <v>26796</v>
      </c>
      <c r="F1990" s="29"/>
      <c r="G1990" s="32">
        <v>45793</v>
      </c>
      <c r="H1990" s="29"/>
      <c r="I1990" s="5" t="s">
        <v>15</v>
      </c>
      <c r="J1990" s="5" t="s">
        <v>16</v>
      </c>
      <c r="K1990" s="5" t="s">
        <v>17</v>
      </c>
    </row>
    <row r="1991" spans="1:11" ht="18.75" customHeight="1" x14ac:dyDescent="0.3">
      <c r="A1991" s="30">
        <v>2009</v>
      </c>
      <c r="B1991" s="29"/>
      <c r="C1991" s="5" t="s">
        <v>14</v>
      </c>
      <c r="D1991" s="7">
        <v>0</v>
      </c>
      <c r="E1991" s="31">
        <v>0</v>
      </c>
      <c r="F1991" s="29"/>
      <c r="G1991" s="32">
        <v>45793</v>
      </c>
      <c r="H1991" s="29"/>
      <c r="I1991" s="5" t="s">
        <v>15</v>
      </c>
      <c r="J1991" s="5" t="s">
        <v>16</v>
      </c>
      <c r="K1991" s="5" t="s">
        <v>17</v>
      </c>
    </row>
    <row r="1992" spans="1:11" ht="18.75" customHeight="1" x14ac:dyDescent="0.3">
      <c r="A1992" s="30">
        <v>2010</v>
      </c>
      <c r="B1992" s="29"/>
      <c r="C1992" s="5" t="s">
        <v>14</v>
      </c>
      <c r="D1992" s="7">
        <v>0</v>
      </c>
      <c r="E1992" s="31">
        <v>0</v>
      </c>
      <c r="F1992" s="29"/>
      <c r="G1992" s="32">
        <v>45793</v>
      </c>
      <c r="H1992" s="29"/>
      <c r="I1992" s="5" t="s">
        <v>15</v>
      </c>
      <c r="J1992" s="5" t="s">
        <v>16</v>
      </c>
      <c r="K1992" s="5" t="s">
        <v>17</v>
      </c>
    </row>
    <row r="1993" spans="1:11" ht="18.75" customHeight="1" x14ac:dyDescent="0.3">
      <c r="A1993" s="30">
        <v>2011</v>
      </c>
      <c r="B1993" s="29"/>
      <c r="C1993" s="5" t="s">
        <v>14</v>
      </c>
      <c r="D1993" s="7">
        <v>0</v>
      </c>
      <c r="E1993" s="31">
        <v>0</v>
      </c>
      <c r="F1993" s="29"/>
      <c r="G1993" s="32">
        <v>45793</v>
      </c>
      <c r="H1993" s="29"/>
      <c r="I1993" s="5" t="s">
        <v>15</v>
      </c>
      <c r="J1993" s="5" t="s">
        <v>16</v>
      </c>
      <c r="K1993" s="5" t="s">
        <v>17</v>
      </c>
    </row>
    <row r="1994" spans="1:11" ht="18.75" customHeight="1" x14ac:dyDescent="0.3">
      <c r="A1994" s="30">
        <v>2012</v>
      </c>
      <c r="B1994" s="29"/>
      <c r="C1994" s="5" t="s">
        <v>14</v>
      </c>
      <c r="D1994" s="7">
        <v>0</v>
      </c>
      <c r="E1994" s="31">
        <v>0</v>
      </c>
      <c r="F1994" s="29"/>
      <c r="G1994" s="32">
        <v>45793</v>
      </c>
      <c r="H1994" s="29"/>
      <c r="I1994" s="5" t="s">
        <v>15</v>
      </c>
      <c r="J1994" s="5" t="s">
        <v>16</v>
      </c>
      <c r="K1994" s="5" t="s">
        <v>17</v>
      </c>
    </row>
    <row r="1995" spans="1:11" ht="18.75" customHeight="1" x14ac:dyDescent="0.3">
      <c r="A1995" s="30">
        <v>2013</v>
      </c>
      <c r="B1995" s="29"/>
      <c r="C1995" s="5" t="s">
        <v>14</v>
      </c>
      <c r="D1995" s="7">
        <v>0</v>
      </c>
      <c r="E1995" s="31">
        <v>0</v>
      </c>
      <c r="F1995" s="29"/>
      <c r="G1995" s="32">
        <v>45793</v>
      </c>
      <c r="H1995" s="29"/>
      <c r="I1995" s="5" t="s">
        <v>15</v>
      </c>
      <c r="J1995" s="5" t="s">
        <v>16</v>
      </c>
      <c r="K1995" s="5" t="s">
        <v>17</v>
      </c>
    </row>
    <row r="1996" spans="1:11" ht="18.75" customHeight="1" x14ac:dyDescent="0.3">
      <c r="A1996" s="30">
        <v>2014</v>
      </c>
      <c r="B1996" s="29"/>
      <c r="C1996" s="5" t="s">
        <v>14</v>
      </c>
      <c r="D1996" s="7">
        <v>0</v>
      </c>
      <c r="E1996" s="31">
        <v>0</v>
      </c>
      <c r="F1996" s="29"/>
      <c r="G1996" s="32">
        <v>45793</v>
      </c>
      <c r="H1996" s="29"/>
      <c r="I1996" s="5" t="s">
        <v>15</v>
      </c>
      <c r="J1996" s="5" t="s">
        <v>16</v>
      </c>
      <c r="K1996" s="5" t="s">
        <v>17</v>
      </c>
    </row>
    <row r="1997" spans="1:11" ht="18.75" customHeight="1" x14ac:dyDescent="0.3">
      <c r="A1997" s="30">
        <v>2015</v>
      </c>
      <c r="B1997" s="29"/>
      <c r="C1997" s="5" t="s">
        <v>14</v>
      </c>
      <c r="D1997" s="7">
        <v>0</v>
      </c>
      <c r="E1997" s="31">
        <v>0</v>
      </c>
      <c r="F1997" s="29"/>
      <c r="G1997" s="32">
        <v>45793</v>
      </c>
      <c r="H1997" s="29"/>
      <c r="I1997" s="5" t="s">
        <v>15</v>
      </c>
      <c r="J1997" s="5" t="s">
        <v>16</v>
      </c>
      <c r="K1997" s="5" t="s">
        <v>17</v>
      </c>
    </row>
    <row r="1998" spans="1:11" ht="18.75" customHeight="1" x14ac:dyDescent="0.3">
      <c r="A1998" s="30">
        <v>2016</v>
      </c>
      <c r="B1998" s="29"/>
      <c r="C1998" s="5" t="s">
        <v>14</v>
      </c>
      <c r="D1998" s="7">
        <v>0</v>
      </c>
      <c r="E1998" s="31">
        <v>0</v>
      </c>
      <c r="F1998" s="29"/>
      <c r="G1998" s="32">
        <v>45793</v>
      </c>
      <c r="H1998" s="29"/>
      <c r="I1998" s="5" t="s">
        <v>15</v>
      </c>
      <c r="J1998" s="5" t="s">
        <v>16</v>
      </c>
      <c r="K1998" s="5" t="s">
        <v>17</v>
      </c>
    </row>
    <row r="1999" spans="1:11" ht="18.75" customHeight="1" x14ac:dyDescent="0.3">
      <c r="A1999" s="30">
        <v>2017</v>
      </c>
      <c r="B1999" s="29"/>
      <c r="C1999" s="5" t="s">
        <v>14</v>
      </c>
      <c r="D1999" s="7">
        <v>0</v>
      </c>
      <c r="E1999" s="31">
        <v>0</v>
      </c>
      <c r="F1999" s="29"/>
      <c r="G1999" s="32">
        <v>45793</v>
      </c>
      <c r="H1999" s="29"/>
      <c r="I1999" s="5" t="s">
        <v>15</v>
      </c>
      <c r="J1999" s="5" t="s">
        <v>16</v>
      </c>
      <c r="K1999" s="5" t="s">
        <v>17</v>
      </c>
    </row>
    <row r="2000" spans="1:11" ht="18.75" customHeight="1" x14ac:dyDescent="0.3">
      <c r="A2000" s="30">
        <v>2018</v>
      </c>
      <c r="B2000" s="29"/>
      <c r="C2000" s="5" t="s">
        <v>14</v>
      </c>
      <c r="D2000" s="7">
        <v>0</v>
      </c>
      <c r="E2000" s="31">
        <v>0</v>
      </c>
      <c r="F2000" s="29"/>
      <c r="G2000" s="32">
        <v>45793</v>
      </c>
      <c r="H2000" s="29"/>
      <c r="I2000" s="5" t="s">
        <v>15</v>
      </c>
      <c r="J2000" s="5" t="s">
        <v>16</v>
      </c>
      <c r="K2000" s="5" t="s">
        <v>17</v>
      </c>
    </row>
    <row r="2001" spans="1:12" ht="18.75" customHeight="1" x14ac:dyDescent="0.3">
      <c r="A2001" s="30">
        <v>2019</v>
      </c>
      <c r="B2001" s="29"/>
      <c r="C2001" s="5" t="s">
        <v>14</v>
      </c>
      <c r="D2001" s="7">
        <v>0</v>
      </c>
      <c r="E2001" s="31">
        <v>0</v>
      </c>
      <c r="F2001" s="29"/>
      <c r="G2001" s="32">
        <v>45793</v>
      </c>
      <c r="H2001" s="29"/>
      <c r="I2001" s="5" t="s">
        <v>15</v>
      </c>
      <c r="J2001" s="5" t="s">
        <v>16</v>
      </c>
      <c r="K2001" s="5" t="s">
        <v>17</v>
      </c>
    </row>
    <row r="2002" spans="1:12" ht="18.75" customHeight="1" x14ac:dyDescent="0.3">
      <c r="A2002" s="30">
        <v>2020</v>
      </c>
      <c r="B2002" s="29"/>
      <c r="C2002" s="5" t="s">
        <v>14</v>
      </c>
      <c r="D2002" s="7">
        <v>0</v>
      </c>
      <c r="E2002" s="31">
        <v>0</v>
      </c>
      <c r="F2002" s="29"/>
      <c r="G2002" s="32">
        <v>45793</v>
      </c>
      <c r="H2002" s="29"/>
      <c r="I2002" s="5" t="s">
        <v>15</v>
      </c>
      <c r="J2002" s="5" t="s">
        <v>16</v>
      </c>
      <c r="K2002" s="5" t="s">
        <v>17</v>
      </c>
    </row>
    <row r="2003" spans="1:12" ht="18.75" customHeight="1" x14ac:dyDescent="0.3">
      <c r="A2003" s="30">
        <v>2021</v>
      </c>
      <c r="B2003" s="29"/>
      <c r="C2003" s="5" t="s">
        <v>14</v>
      </c>
      <c r="D2003" s="7">
        <v>0</v>
      </c>
      <c r="E2003" s="31">
        <v>0</v>
      </c>
      <c r="F2003" s="29"/>
      <c r="G2003" s="32">
        <v>45793</v>
      </c>
      <c r="H2003" s="29"/>
      <c r="I2003" s="5" t="s">
        <v>15</v>
      </c>
      <c r="J2003" s="5" t="s">
        <v>16</v>
      </c>
      <c r="K2003" s="5" t="s">
        <v>17</v>
      </c>
    </row>
    <row r="2004" spans="1:12" ht="18.75" customHeight="1" x14ac:dyDescent="0.3">
      <c r="A2004" s="30">
        <v>2022</v>
      </c>
      <c r="B2004" s="29"/>
      <c r="C2004" s="5" t="s">
        <v>14</v>
      </c>
      <c r="D2004" s="7">
        <v>0</v>
      </c>
      <c r="E2004" s="31">
        <v>0</v>
      </c>
      <c r="F2004" s="29"/>
      <c r="G2004" s="32">
        <v>45793</v>
      </c>
      <c r="H2004" s="29"/>
      <c r="I2004" s="5" t="s">
        <v>15</v>
      </c>
      <c r="J2004" s="5" t="s">
        <v>16</v>
      </c>
      <c r="K2004" s="5" t="s">
        <v>17</v>
      </c>
    </row>
    <row r="2005" spans="1:12" ht="18.75" customHeight="1" x14ac:dyDescent="0.3">
      <c r="A2005" s="30">
        <v>2023</v>
      </c>
      <c r="B2005" s="29"/>
      <c r="C2005" s="5" t="s">
        <v>14</v>
      </c>
      <c r="D2005" s="7">
        <v>0</v>
      </c>
      <c r="E2005" s="31">
        <v>0</v>
      </c>
      <c r="F2005" s="29"/>
      <c r="G2005" s="32">
        <v>45793</v>
      </c>
      <c r="H2005" s="29"/>
      <c r="I2005" s="5" t="s">
        <v>15</v>
      </c>
      <c r="J2005" s="5" t="s">
        <v>16</v>
      </c>
      <c r="K2005" s="5" t="s">
        <v>17</v>
      </c>
    </row>
    <row r="2006" spans="1:12" ht="18.75" customHeight="1" x14ac:dyDescent="0.3">
      <c r="A2006" s="53">
        <v>2024</v>
      </c>
      <c r="B2006" s="29"/>
      <c r="C2006" s="5" t="s">
        <v>14</v>
      </c>
      <c r="D2006" s="7">
        <v>0</v>
      </c>
      <c r="E2006" s="31">
        <v>0</v>
      </c>
      <c r="F2006" s="29"/>
      <c r="G2006" s="32">
        <v>45793</v>
      </c>
      <c r="H2006" s="29"/>
      <c r="I2006" s="5" t="s">
        <v>15</v>
      </c>
      <c r="J2006" s="5" t="s">
        <v>16</v>
      </c>
      <c r="K2006" s="5" t="s">
        <v>17</v>
      </c>
    </row>
    <row r="2007" spans="1:12" ht="18.75" customHeight="1" x14ac:dyDescent="0.3">
      <c r="A2007" s="30">
        <v>2025</v>
      </c>
      <c r="B2007" s="29"/>
      <c r="C2007" s="5" t="s">
        <v>40</v>
      </c>
      <c r="D2007" s="7">
        <v>596</v>
      </c>
      <c r="E2007" s="31">
        <v>137627</v>
      </c>
      <c r="F2007" s="29"/>
      <c r="G2007" s="32">
        <v>45783</v>
      </c>
      <c r="H2007" s="29"/>
      <c r="I2007" s="5" t="s">
        <v>15</v>
      </c>
      <c r="J2007" s="5" t="s">
        <v>66</v>
      </c>
      <c r="K2007" s="5"/>
      <c r="L2007" t="s">
        <v>43</v>
      </c>
    </row>
    <row r="2008" spans="1:12" ht="18.75" customHeight="1" x14ac:dyDescent="0.3">
      <c r="A2008" s="30">
        <v>2026</v>
      </c>
      <c r="B2008" s="29"/>
      <c r="C2008" s="5" t="s">
        <v>40</v>
      </c>
      <c r="D2008" s="7">
        <v>562</v>
      </c>
      <c r="E2008" s="31">
        <v>135967</v>
      </c>
      <c r="F2008" s="29"/>
      <c r="G2008" s="32">
        <v>45795</v>
      </c>
      <c r="H2008" s="29"/>
      <c r="I2008" s="5" t="s">
        <v>15</v>
      </c>
      <c r="J2008" s="5" t="s">
        <v>66</v>
      </c>
      <c r="K2008" s="5"/>
      <c r="L2008" t="s">
        <v>41</v>
      </c>
    </row>
    <row r="2009" spans="1:12" ht="18.75" customHeight="1" x14ac:dyDescent="0.3">
      <c r="A2009" s="30">
        <v>2027</v>
      </c>
      <c r="B2009" s="29"/>
      <c r="C2009" s="5" t="s">
        <v>40</v>
      </c>
      <c r="D2009" s="7">
        <v>473</v>
      </c>
      <c r="E2009" s="31">
        <v>135990</v>
      </c>
      <c r="F2009" s="29"/>
      <c r="G2009" s="32">
        <v>45800</v>
      </c>
      <c r="H2009" s="29"/>
      <c r="I2009" s="5" t="s">
        <v>15</v>
      </c>
      <c r="J2009" s="5" t="s">
        <v>66</v>
      </c>
      <c r="K2009" s="5"/>
      <c r="L2009" t="s">
        <v>41</v>
      </c>
    </row>
    <row r="2010" spans="1:12" ht="18.75" customHeight="1" x14ac:dyDescent="0.3">
      <c r="A2010" s="30">
        <v>2028</v>
      </c>
      <c r="B2010" s="29"/>
      <c r="C2010" s="5" t="s">
        <v>40</v>
      </c>
      <c r="D2010" s="7">
        <v>390</v>
      </c>
      <c r="E2010" s="31">
        <v>135970</v>
      </c>
      <c r="F2010" s="29"/>
      <c r="G2010" s="32">
        <v>45795</v>
      </c>
      <c r="H2010" s="29"/>
      <c r="I2010" s="5" t="s">
        <v>28</v>
      </c>
      <c r="J2010" s="5" t="s">
        <v>30</v>
      </c>
      <c r="K2010" s="5"/>
      <c r="L2010" t="s">
        <v>41</v>
      </c>
    </row>
    <row r="2011" spans="1:12" ht="18.75" customHeight="1" x14ac:dyDescent="0.3">
      <c r="A2011" s="30">
        <v>2029</v>
      </c>
      <c r="B2011" s="29"/>
      <c r="C2011" s="5" t="s">
        <v>14</v>
      </c>
      <c r="D2011" s="7">
        <v>234</v>
      </c>
      <c r="E2011" s="31">
        <v>26891</v>
      </c>
      <c r="F2011" s="29"/>
      <c r="G2011" s="32">
        <v>45804</v>
      </c>
      <c r="H2011" s="29"/>
      <c r="I2011" s="5" t="s">
        <v>19</v>
      </c>
      <c r="J2011" s="5" t="s">
        <v>20</v>
      </c>
      <c r="K2011" s="5" t="s">
        <v>21</v>
      </c>
      <c r="L2011" s="15" t="s">
        <v>36</v>
      </c>
    </row>
    <row r="2012" spans="1:12" ht="18.75" customHeight="1" x14ac:dyDescent="0.3">
      <c r="A2012" s="30">
        <v>2030</v>
      </c>
      <c r="B2012" s="29"/>
      <c r="C2012" s="5" t="s">
        <v>14</v>
      </c>
      <c r="D2012" s="7">
        <v>238</v>
      </c>
      <c r="E2012" s="31">
        <v>26900</v>
      </c>
      <c r="F2012" s="29"/>
      <c r="G2012" s="32">
        <v>45805</v>
      </c>
      <c r="H2012" s="29"/>
      <c r="I2012" s="5" t="s">
        <v>19</v>
      </c>
      <c r="J2012" s="5" t="s">
        <v>20</v>
      </c>
      <c r="K2012" s="5" t="s">
        <v>21</v>
      </c>
      <c r="L2012" s="16" t="s">
        <v>53</v>
      </c>
    </row>
    <row r="2013" spans="1:12" ht="18.75" customHeight="1" x14ac:dyDescent="0.3">
      <c r="A2013" s="30">
        <v>2031</v>
      </c>
      <c r="B2013" s="29"/>
      <c r="C2013" s="5" t="s">
        <v>14</v>
      </c>
      <c r="D2013" s="7">
        <v>259</v>
      </c>
      <c r="E2013" s="31">
        <v>26911</v>
      </c>
      <c r="F2013" s="29"/>
      <c r="G2013" s="32">
        <v>45806</v>
      </c>
      <c r="H2013" s="29"/>
      <c r="I2013" s="5" t="s">
        <v>19</v>
      </c>
      <c r="J2013" s="5" t="s">
        <v>20</v>
      </c>
      <c r="K2013" s="5" t="s">
        <v>21</v>
      </c>
      <c r="L2013" s="17" t="s">
        <v>22</v>
      </c>
    </row>
    <row r="2014" spans="1:12" ht="18.75" customHeight="1" x14ac:dyDescent="0.3">
      <c r="A2014" s="30">
        <v>2032</v>
      </c>
      <c r="B2014" s="29"/>
      <c r="C2014" s="5" t="s">
        <v>14</v>
      </c>
      <c r="D2014" s="7">
        <v>259</v>
      </c>
      <c r="E2014" s="31">
        <v>26922</v>
      </c>
      <c r="F2014" s="29"/>
      <c r="G2014" s="32">
        <v>45807</v>
      </c>
      <c r="H2014" s="29"/>
      <c r="I2014" s="5" t="s">
        <v>19</v>
      </c>
      <c r="J2014" s="5" t="s">
        <v>20</v>
      </c>
      <c r="K2014" s="5" t="s">
        <v>21</v>
      </c>
      <c r="L2014" s="17" t="s">
        <v>23</v>
      </c>
    </row>
    <row r="2015" spans="1:12" ht="18.75" customHeight="1" x14ac:dyDescent="0.3">
      <c r="A2015" s="30">
        <v>2033</v>
      </c>
      <c r="B2015" s="29"/>
      <c r="C2015" s="5" t="s">
        <v>14</v>
      </c>
      <c r="D2015" s="7">
        <v>257</v>
      </c>
      <c r="E2015" s="31">
        <v>26928</v>
      </c>
      <c r="F2015" s="29"/>
      <c r="G2015" s="32">
        <v>45808</v>
      </c>
      <c r="H2015" s="29"/>
      <c r="I2015" s="5" t="s">
        <v>19</v>
      </c>
      <c r="J2015" s="5" t="s">
        <v>20</v>
      </c>
      <c r="K2015" s="5" t="s">
        <v>21</v>
      </c>
      <c r="L2015" s="17" t="s">
        <v>35</v>
      </c>
    </row>
    <row r="2016" spans="1:12" ht="18.75" customHeight="1" x14ac:dyDescent="0.3">
      <c r="A2016" s="30">
        <v>2034</v>
      </c>
      <c r="B2016" s="29"/>
      <c r="C2016" s="5" t="s">
        <v>14</v>
      </c>
      <c r="D2016" s="7">
        <v>401</v>
      </c>
      <c r="E2016" s="31">
        <v>26865</v>
      </c>
      <c r="F2016" s="29"/>
      <c r="G2016" s="32">
        <v>45800</v>
      </c>
      <c r="H2016" s="29"/>
      <c r="I2016" s="5" t="s">
        <v>15</v>
      </c>
      <c r="J2016" s="5" t="s">
        <v>16</v>
      </c>
      <c r="K2016" s="5" t="s">
        <v>17</v>
      </c>
      <c r="L2016" s="17" t="s">
        <v>25</v>
      </c>
    </row>
    <row r="2017" spans="1:12" ht="18.75" customHeight="1" x14ac:dyDescent="0.3">
      <c r="A2017" s="30">
        <v>2035</v>
      </c>
      <c r="B2017" s="29"/>
      <c r="C2017" s="5" t="s">
        <v>14</v>
      </c>
      <c r="D2017" s="7">
        <v>556</v>
      </c>
      <c r="E2017" s="31">
        <v>26885</v>
      </c>
      <c r="F2017" s="29"/>
      <c r="G2017" s="32">
        <v>45803</v>
      </c>
      <c r="H2017" s="29"/>
      <c r="I2017" s="5" t="s">
        <v>15</v>
      </c>
      <c r="J2017" s="5" t="s">
        <v>16</v>
      </c>
      <c r="K2017" s="5" t="s">
        <v>17</v>
      </c>
      <c r="L2017" s="17" t="s">
        <v>18</v>
      </c>
    </row>
    <row r="2018" spans="1:12" ht="18.75" customHeight="1" x14ac:dyDescent="0.3">
      <c r="A2018" s="30">
        <v>2036</v>
      </c>
      <c r="B2018" s="29"/>
      <c r="C2018" s="5" t="s">
        <v>14</v>
      </c>
      <c r="D2018" s="7">
        <v>318</v>
      </c>
      <c r="E2018" s="31">
        <v>26893</v>
      </c>
      <c r="F2018" s="29"/>
      <c r="G2018" s="32">
        <v>45804</v>
      </c>
      <c r="H2018" s="29"/>
      <c r="I2018" s="5" t="s">
        <v>15</v>
      </c>
      <c r="J2018" s="5" t="s">
        <v>16</v>
      </c>
      <c r="K2018" s="5" t="s">
        <v>17</v>
      </c>
      <c r="L2018" s="17" t="s">
        <v>24</v>
      </c>
    </row>
    <row r="2019" spans="1:12" ht="18.75" customHeight="1" x14ac:dyDescent="0.3">
      <c r="A2019" s="30">
        <v>2037</v>
      </c>
      <c r="B2019" s="29"/>
      <c r="C2019" s="5" t="s">
        <v>14</v>
      </c>
      <c r="D2019" s="7">
        <v>428</v>
      </c>
      <c r="E2019" s="31">
        <v>26898</v>
      </c>
      <c r="F2019" s="29"/>
      <c r="G2019" s="32">
        <v>45805</v>
      </c>
      <c r="H2019" s="29"/>
      <c r="I2019" s="5" t="s">
        <v>15</v>
      </c>
      <c r="J2019" s="5" t="s">
        <v>16</v>
      </c>
      <c r="K2019" s="5" t="s">
        <v>17</v>
      </c>
      <c r="L2019" s="17" t="s">
        <v>25</v>
      </c>
    </row>
    <row r="2020" spans="1:12" ht="18.75" customHeight="1" x14ac:dyDescent="0.3">
      <c r="A2020" s="30">
        <v>2038</v>
      </c>
      <c r="B2020" s="29"/>
      <c r="C2020" s="5" t="s">
        <v>14</v>
      </c>
      <c r="D2020" s="7">
        <v>227</v>
      </c>
      <c r="E2020" s="31">
        <v>26910</v>
      </c>
      <c r="F2020" s="29"/>
      <c r="G2020" s="32">
        <v>45806</v>
      </c>
      <c r="H2020" s="29"/>
      <c r="I2020" s="5" t="s">
        <v>15</v>
      </c>
      <c r="J2020" s="5" t="s">
        <v>16</v>
      </c>
      <c r="K2020" s="5" t="s">
        <v>17</v>
      </c>
      <c r="L2020" s="17" t="s">
        <v>27</v>
      </c>
    </row>
    <row r="2021" spans="1:12" ht="18.75" customHeight="1" x14ac:dyDescent="0.3">
      <c r="A2021" s="30">
        <v>2039</v>
      </c>
      <c r="B2021" s="29"/>
      <c r="C2021" s="5" t="s">
        <v>14</v>
      </c>
      <c r="D2021" s="7">
        <v>318</v>
      </c>
      <c r="E2021" s="31">
        <v>26917</v>
      </c>
      <c r="F2021" s="29"/>
      <c r="G2021" s="32">
        <v>45807</v>
      </c>
      <c r="H2021" s="29"/>
      <c r="I2021" s="5" t="s">
        <v>15</v>
      </c>
      <c r="J2021" s="5" t="s">
        <v>16</v>
      </c>
      <c r="K2021" s="5" t="s">
        <v>17</v>
      </c>
      <c r="L2021" s="17" t="s">
        <v>26</v>
      </c>
    </row>
    <row r="2022" spans="1:12" ht="18.75" customHeight="1" x14ac:dyDescent="0.3">
      <c r="A2022" s="30">
        <v>2040</v>
      </c>
      <c r="B2022" s="29"/>
      <c r="C2022" s="5" t="s">
        <v>14</v>
      </c>
      <c r="D2022" s="7">
        <v>531</v>
      </c>
      <c r="E2022" s="31">
        <v>26930</v>
      </c>
      <c r="F2022" s="29"/>
      <c r="G2022" s="32">
        <v>45808</v>
      </c>
      <c r="H2022" s="29"/>
      <c r="I2022" s="5" t="s">
        <v>15</v>
      </c>
      <c r="J2022" s="5" t="s">
        <v>16</v>
      </c>
      <c r="K2022" s="5" t="s">
        <v>17</v>
      </c>
      <c r="L2022" s="17" t="s">
        <v>22</v>
      </c>
    </row>
    <row r="2023" spans="1:12" ht="18.75" customHeight="1" x14ac:dyDescent="0.3">
      <c r="A2023" s="30">
        <v>2041</v>
      </c>
      <c r="B2023" s="29"/>
      <c r="C2023" s="5" t="s">
        <v>14</v>
      </c>
      <c r="D2023" s="7">
        <v>558</v>
      </c>
      <c r="E2023" s="31">
        <v>26883</v>
      </c>
      <c r="F2023" s="29"/>
      <c r="G2023" s="32">
        <v>45803</v>
      </c>
      <c r="H2023" s="29"/>
      <c r="I2023" s="5" t="s">
        <v>28</v>
      </c>
      <c r="J2023" s="5" t="s">
        <v>66</v>
      </c>
      <c r="K2023" s="5" t="s">
        <v>30</v>
      </c>
      <c r="L2023" s="17" t="s">
        <v>23</v>
      </c>
    </row>
    <row r="2024" spans="1:12" ht="18.75" customHeight="1" x14ac:dyDescent="0.3">
      <c r="A2024" s="30">
        <v>2042</v>
      </c>
      <c r="B2024" s="29"/>
      <c r="C2024" s="5" t="s">
        <v>14</v>
      </c>
      <c r="D2024" s="7">
        <v>151</v>
      </c>
      <c r="E2024" s="31">
        <v>145099</v>
      </c>
      <c r="F2024" s="29"/>
      <c r="G2024" s="32">
        <v>45804</v>
      </c>
      <c r="H2024" s="29"/>
      <c r="I2024" s="5" t="s">
        <v>28</v>
      </c>
      <c r="J2024" s="5" t="s">
        <v>66</v>
      </c>
      <c r="K2024" s="5" t="s">
        <v>30</v>
      </c>
      <c r="L2024" s="17" t="s">
        <v>59</v>
      </c>
    </row>
    <row r="2025" spans="1:12" ht="18.75" customHeight="1" x14ac:dyDescent="0.3">
      <c r="A2025" s="30">
        <v>2043</v>
      </c>
      <c r="B2025" s="29"/>
      <c r="C2025" s="5" t="s">
        <v>14</v>
      </c>
      <c r="D2025" s="7">
        <v>298</v>
      </c>
      <c r="E2025" s="31">
        <v>26899</v>
      </c>
      <c r="F2025" s="29"/>
      <c r="G2025" s="32">
        <v>45805</v>
      </c>
      <c r="H2025" s="29"/>
      <c r="I2025" s="5" t="s">
        <v>28</v>
      </c>
      <c r="J2025" s="5" t="s">
        <v>66</v>
      </c>
      <c r="K2025" s="5" t="s">
        <v>30</v>
      </c>
      <c r="L2025" s="17" t="s">
        <v>18</v>
      </c>
    </row>
    <row r="2026" spans="1:12" ht="18.75" customHeight="1" x14ac:dyDescent="0.3">
      <c r="A2026" s="30">
        <v>2044</v>
      </c>
      <c r="B2026" s="29"/>
      <c r="C2026" s="5" t="s">
        <v>14</v>
      </c>
      <c r="D2026" s="7">
        <v>505</v>
      </c>
      <c r="E2026" s="31">
        <v>26907</v>
      </c>
      <c r="F2026" s="29"/>
      <c r="G2026" s="32">
        <v>45806</v>
      </c>
      <c r="H2026" s="29"/>
      <c r="I2026" s="5" t="s">
        <v>28</v>
      </c>
      <c r="J2026" s="5" t="s">
        <v>66</v>
      </c>
      <c r="K2026" s="5" t="s">
        <v>30</v>
      </c>
      <c r="L2026" s="17" t="s">
        <v>32</v>
      </c>
    </row>
    <row r="2027" spans="1:12" ht="18.75" customHeight="1" x14ac:dyDescent="0.3">
      <c r="A2027" s="30">
        <v>2045</v>
      </c>
      <c r="B2027" s="29"/>
      <c r="C2027" s="5" t="s">
        <v>14</v>
      </c>
      <c r="D2027" s="7">
        <v>385</v>
      </c>
      <c r="E2027" s="31">
        <v>26918</v>
      </c>
      <c r="F2027" s="29"/>
      <c r="G2027" s="32">
        <v>45807</v>
      </c>
      <c r="H2027" s="29"/>
      <c r="I2027" s="5" t="s">
        <v>28</v>
      </c>
      <c r="J2027" s="5" t="s">
        <v>66</v>
      </c>
      <c r="K2027" s="5" t="s">
        <v>30</v>
      </c>
      <c r="L2027" s="17" t="s">
        <v>18</v>
      </c>
    </row>
    <row r="2028" spans="1:12" ht="18.75" customHeight="1" x14ac:dyDescent="0.3">
      <c r="A2028" s="59">
        <v>2046</v>
      </c>
      <c r="B2028" s="49"/>
      <c r="C2028" s="18" t="s">
        <v>14</v>
      </c>
      <c r="D2028" s="19">
        <v>209</v>
      </c>
      <c r="E2028" s="48">
        <v>26929</v>
      </c>
      <c r="F2028" s="49"/>
      <c r="G2028" s="54">
        <v>45808</v>
      </c>
      <c r="H2028" s="49"/>
      <c r="I2028" s="18" t="s">
        <v>28</v>
      </c>
      <c r="J2028" s="18" t="s">
        <v>66</v>
      </c>
      <c r="K2028" s="18" t="s">
        <v>30</v>
      </c>
      <c r="L2028" s="17" t="s">
        <v>27</v>
      </c>
    </row>
    <row r="2029" spans="1:12" ht="18.75" customHeight="1" x14ac:dyDescent="0.3">
      <c r="A2029" s="30">
        <v>2047</v>
      </c>
      <c r="B2029" s="29"/>
      <c r="C2029" s="5" t="s">
        <v>14</v>
      </c>
      <c r="D2029" s="7">
        <v>670</v>
      </c>
      <c r="E2029" s="31">
        <v>40642</v>
      </c>
      <c r="F2029" s="29"/>
      <c r="G2029" s="32">
        <v>45809</v>
      </c>
      <c r="H2029" s="29"/>
      <c r="I2029" s="5" t="s">
        <v>28</v>
      </c>
      <c r="J2029" s="5" t="s">
        <v>66</v>
      </c>
      <c r="K2029" s="5" t="s">
        <v>30</v>
      </c>
      <c r="L2029" t="s">
        <v>32</v>
      </c>
    </row>
    <row r="2030" spans="1:12" ht="18.75" customHeight="1" x14ac:dyDescent="0.3">
      <c r="A2030" s="43"/>
      <c r="B2030" s="39"/>
      <c r="E2030" s="51"/>
      <c r="F2030" s="41"/>
      <c r="G2030" s="52"/>
      <c r="H2030" s="42"/>
    </row>
    <row r="2031" spans="1:12" ht="18.75" customHeight="1" x14ac:dyDescent="0.3">
      <c r="A2031" s="43"/>
      <c r="B2031" s="39"/>
      <c r="E2031" s="51"/>
      <c r="F2031" s="41"/>
      <c r="G2031" s="52"/>
      <c r="H2031" s="42"/>
    </row>
    <row r="2032" spans="1:12" ht="18.75" customHeight="1" x14ac:dyDescent="0.3">
      <c r="A2032" s="43"/>
      <c r="B2032" s="39"/>
      <c r="E2032" s="51"/>
      <c r="F2032" s="41"/>
      <c r="G2032" s="52"/>
      <c r="H2032" s="42"/>
    </row>
    <row r="2033" spans="1:8" ht="18.75" customHeight="1" x14ac:dyDescent="0.3">
      <c r="A2033" s="43"/>
      <c r="B2033" s="39"/>
      <c r="E2033" s="51"/>
      <c r="F2033" s="41"/>
      <c r="G2033" s="52"/>
      <c r="H2033" s="42"/>
    </row>
    <row r="2034" spans="1:8" ht="18.75" customHeight="1" x14ac:dyDescent="0.3">
      <c r="A2034" s="43"/>
      <c r="B2034" s="39"/>
      <c r="E2034" s="51"/>
      <c r="F2034" s="41"/>
      <c r="G2034" s="52"/>
      <c r="H2034" s="42"/>
    </row>
    <row r="2035" spans="1:8" ht="18.75" customHeight="1" x14ac:dyDescent="0.3">
      <c r="A2035" s="43"/>
      <c r="B2035" s="39"/>
      <c r="E2035" s="51"/>
      <c r="F2035" s="41"/>
      <c r="G2035" s="52"/>
      <c r="H2035" s="42"/>
    </row>
    <row r="2036" spans="1:8" ht="18.75" customHeight="1" x14ac:dyDescent="0.3">
      <c r="A2036" s="43"/>
      <c r="B2036" s="39"/>
      <c r="E2036" s="51"/>
      <c r="F2036" s="41"/>
      <c r="G2036" s="52"/>
      <c r="H2036" s="42"/>
    </row>
    <row r="2037" spans="1:8" ht="18.75" customHeight="1" x14ac:dyDescent="0.3">
      <c r="A2037" s="43"/>
      <c r="B2037" s="39"/>
      <c r="E2037" s="51"/>
      <c r="F2037" s="41"/>
      <c r="G2037" s="52"/>
      <c r="H2037" s="42"/>
    </row>
    <row r="2038" spans="1:8" ht="18.75" customHeight="1" x14ac:dyDescent="0.3">
      <c r="A2038" s="43"/>
      <c r="B2038" s="39"/>
      <c r="E2038" s="51"/>
      <c r="F2038" s="41"/>
      <c r="G2038" s="52"/>
      <c r="H2038" s="42"/>
    </row>
    <row r="2039" spans="1:8" ht="18.75" customHeight="1" x14ac:dyDescent="0.3">
      <c r="A2039" s="43"/>
      <c r="B2039" s="39"/>
      <c r="E2039" s="51"/>
      <c r="F2039" s="41"/>
      <c r="G2039" s="52"/>
      <c r="H2039" s="42"/>
    </row>
    <row r="2040" spans="1:8" ht="18.75" customHeight="1" x14ac:dyDescent="0.3">
      <c r="A2040" s="43"/>
      <c r="B2040" s="39"/>
      <c r="E2040" s="51"/>
      <c r="F2040" s="41"/>
      <c r="G2040" s="52"/>
      <c r="H2040" s="42"/>
    </row>
    <row r="2041" spans="1:8" ht="18.75" customHeight="1" x14ac:dyDescent="0.3">
      <c r="A2041" s="43"/>
      <c r="B2041" s="39"/>
      <c r="E2041" s="51"/>
      <c r="F2041" s="41"/>
      <c r="G2041" s="52"/>
      <c r="H2041" s="42"/>
    </row>
    <row r="2042" spans="1:8" ht="18.75" customHeight="1" x14ac:dyDescent="0.3">
      <c r="A2042" s="43"/>
      <c r="B2042" s="39"/>
      <c r="E2042" s="51"/>
      <c r="F2042" s="41"/>
      <c r="G2042" s="52"/>
      <c r="H2042" s="42"/>
    </row>
    <row r="2043" spans="1:8" ht="18.75" customHeight="1" x14ac:dyDescent="0.3">
      <c r="A2043" s="43"/>
      <c r="B2043" s="39"/>
      <c r="E2043" s="51"/>
      <c r="F2043" s="41"/>
      <c r="G2043" s="52"/>
      <c r="H2043" s="42"/>
    </row>
    <row r="2044" spans="1:8" ht="18.75" customHeight="1" x14ac:dyDescent="0.3">
      <c r="A2044" s="43"/>
      <c r="B2044" s="39"/>
      <c r="E2044" s="51"/>
      <c r="F2044" s="41"/>
      <c r="G2044" s="52"/>
      <c r="H2044" s="42"/>
    </row>
    <row r="2045" spans="1:8" ht="18.75" customHeight="1" x14ac:dyDescent="0.3">
      <c r="A2045" s="43"/>
      <c r="B2045" s="39"/>
      <c r="E2045" s="51"/>
      <c r="F2045" s="41"/>
      <c r="G2045" s="52"/>
      <c r="H2045" s="42"/>
    </row>
    <row r="2046" spans="1:8" ht="18.75" customHeight="1" x14ac:dyDescent="0.3">
      <c r="A2046" s="43"/>
      <c r="B2046" s="39"/>
      <c r="E2046" s="51"/>
      <c r="F2046" s="41"/>
      <c r="G2046" s="52"/>
      <c r="H2046" s="42"/>
    </row>
    <row r="2047" spans="1:8" ht="18.75" customHeight="1" x14ac:dyDescent="0.3">
      <c r="A2047" s="43"/>
      <c r="B2047" s="39"/>
      <c r="E2047" s="51"/>
      <c r="F2047" s="41"/>
      <c r="G2047" s="52"/>
      <c r="H2047" s="42"/>
    </row>
    <row r="2048" spans="1:8" ht="18.75" customHeight="1" x14ac:dyDescent="0.3">
      <c r="A2048" s="43"/>
      <c r="B2048" s="39"/>
      <c r="E2048" s="51"/>
      <c r="F2048" s="41"/>
      <c r="G2048" s="52"/>
      <c r="H2048" s="42"/>
    </row>
    <row r="2049" spans="1:8" ht="18.75" customHeight="1" x14ac:dyDescent="0.3">
      <c r="A2049" s="43"/>
      <c r="B2049" s="39"/>
      <c r="E2049" s="51"/>
      <c r="F2049" s="41"/>
      <c r="G2049" s="52"/>
      <c r="H2049" s="42"/>
    </row>
    <row r="2050" spans="1:8" ht="18.75" customHeight="1" x14ac:dyDescent="0.3">
      <c r="A2050" s="43"/>
      <c r="B2050" s="39"/>
      <c r="E2050" s="51"/>
      <c r="F2050" s="41"/>
      <c r="G2050" s="52"/>
      <c r="H2050" s="42"/>
    </row>
    <row r="2051" spans="1:8" ht="18.75" customHeight="1" x14ac:dyDescent="0.3">
      <c r="A2051" s="43"/>
      <c r="B2051" s="39"/>
      <c r="E2051" s="51"/>
      <c r="F2051" s="41"/>
      <c r="G2051" s="52"/>
      <c r="H2051" s="42"/>
    </row>
    <row r="2052" spans="1:8" ht="18.75" customHeight="1" x14ac:dyDescent="0.3">
      <c r="A2052" s="43"/>
      <c r="B2052" s="39"/>
      <c r="E2052" s="51"/>
      <c r="F2052" s="41"/>
      <c r="G2052" s="52"/>
      <c r="H2052" s="42"/>
    </row>
    <row r="2053" spans="1:8" ht="18.75" customHeight="1" x14ac:dyDescent="0.3">
      <c r="A2053" s="43"/>
      <c r="B2053" s="39"/>
      <c r="E2053" s="51"/>
      <c r="F2053" s="41"/>
      <c r="G2053" s="52"/>
      <c r="H2053" s="42"/>
    </row>
    <row r="2054" spans="1:8" ht="18.75" customHeight="1" x14ac:dyDescent="0.3">
      <c r="A2054" s="43"/>
      <c r="B2054" s="39"/>
      <c r="E2054" s="51"/>
      <c r="F2054" s="41"/>
      <c r="G2054" s="52"/>
      <c r="H2054" s="42"/>
    </row>
    <row r="2055" spans="1:8" ht="18.75" customHeight="1" x14ac:dyDescent="0.3">
      <c r="A2055" s="43"/>
      <c r="B2055" s="39"/>
      <c r="E2055" s="51"/>
      <c r="F2055" s="41"/>
      <c r="G2055" s="52"/>
      <c r="H2055" s="42"/>
    </row>
    <row r="2056" spans="1:8" ht="18.75" customHeight="1" x14ac:dyDescent="0.3">
      <c r="A2056" s="43"/>
      <c r="B2056" s="39"/>
      <c r="E2056" s="51"/>
      <c r="F2056" s="41"/>
      <c r="G2056" s="52"/>
      <c r="H2056" s="42"/>
    </row>
    <row r="2057" spans="1:8" ht="18.75" customHeight="1" x14ac:dyDescent="0.3">
      <c r="A2057" s="43"/>
      <c r="B2057" s="39"/>
      <c r="E2057" s="51"/>
      <c r="F2057" s="41"/>
      <c r="G2057" s="52"/>
      <c r="H2057" s="42"/>
    </row>
    <row r="2058" spans="1:8" ht="18.75" customHeight="1" x14ac:dyDescent="0.3">
      <c r="A2058" s="43"/>
      <c r="B2058" s="39"/>
      <c r="E2058" s="51"/>
      <c r="F2058" s="41"/>
      <c r="G2058" s="52"/>
      <c r="H2058" s="42"/>
    </row>
    <row r="2059" spans="1:8" ht="18.75" customHeight="1" x14ac:dyDescent="0.3">
      <c r="A2059" s="43"/>
      <c r="B2059" s="39"/>
      <c r="E2059" s="51"/>
      <c r="F2059" s="41"/>
      <c r="G2059" s="52"/>
      <c r="H2059" s="42"/>
    </row>
    <row r="2060" spans="1:8" ht="18.75" customHeight="1" x14ac:dyDescent="0.3">
      <c r="A2060" s="43"/>
      <c r="B2060" s="39"/>
      <c r="E2060" s="51"/>
      <c r="F2060" s="41"/>
      <c r="G2060" s="52"/>
      <c r="H2060" s="42"/>
    </row>
    <row r="2061" spans="1:8" ht="18.75" customHeight="1" x14ac:dyDescent="0.3">
      <c r="A2061" s="43"/>
      <c r="B2061" s="39"/>
      <c r="E2061" s="51"/>
      <c r="F2061" s="41"/>
      <c r="G2061" s="52"/>
      <c r="H2061" s="42"/>
    </row>
    <row r="2062" spans="1:8" ht="18.75" customHeight="1" x14ac:dyDescent="0.3">
      <c r="A2062" s="43"/>
      <c r="B2062" s="39"/>
      <c r="E2062" s="51"/>
      <c r="F2062" s="41"/>
      <c r="G2062" s="52"/>
      <c r="H2062" s="42"/>
    </row>
    <row r="2063" spans="1:8" ht="18.75" customHeight="1" x14ac:dyDescent="0.3">
      <c r="A2063" s="43"/>
      <c r="B2063" s="39"/>
      <c r="E2063" s="51"/>
      <c r="F2063" s="41"/>
      <c r="G2063" s="52"/>
      <c r="H2063" s="42"/>
    </row>
    <row r="2064" spans="1:8" ht="18.75" customHeight="1" x14ac:dyDescent="0.3">
      <c r="A2064" s="43"/>
      <c r="B2064" s="39"/>
      <c r="E2064" s="51"/>
      <c r="F2064" s="41"/>
      <c r="G2064" s="52"/>
      <c r="H2064" s="42"/>
    </row>
    <row r="2065" spans="1:8" ht="18.75" customHeight="1" x14ac:dyDescent="0.3">
      <c r="A2065" s="43"/>
      <c r="B2065" s="39"/>
      <c r="E2065" s="51"/>
      <c r="F2065" s="41"/>
      <c r="G2065" s="52"/>
      <c r="H2065" s="42"/>
    </row>
    <row r="2066" spans="1:8" ht="18.75" customHeight="1" x14ac:dyDescent="0.3">
      <c r="A2066" s="43"/>
      <c r="B2066" s="39"/>
      <c r="E2066" s="51"/>
      <c r="F2066" s="41"/>
      <c r="G2066" s="52"/>
      <c r="H2066" s="42"/>
    </row>
    <row r="2067" spans="1:8" ht="18.75" customHeight="1" x14ac:dyDescent="0.3">
      <c r="A2067" s="43"/>
      <c r="B2067" s="39"/>
      <c r="E2067" s="51"/>
      <c r="F2067" s="41"/>
      <c r="G2067" s="52"/>
      <c r="H2067" s="42"/>
    </row>
    <row r="2068" spans="1:8" ht="18.75" customHeight="1" x14ac:dyDescent="0.3">
      <c r="A2068" s="43"/>
      <c r="B2068" s="39"/>
      <c r="E2068" s="51"/>
      <c r="F2068" s="41"/>
      <c r="G2068" s="52"/>
      <c r="H2068" s="42"/>
    </row>
    <row r="2069" spans="1:8" ht="18.75" customHeight="1" x14ac:dyDescent="0.3">
      <c r="A2069" s="43"/>
      <c r="B2069" s="39"/>
      <c r="E2069" s="51"/>
      <c r="F2069" s="41"/>
      <c r="G2069" s="52"/>
      <c r="H2069" s="42"/>
    </row>
    <row r="2070" spans="1:8" ht="18.75" customHeight="1" x14ac:dyDescent="0.3">
      <c r="A2070" s="43"/>
      <c r="B2070" s="39"/>
      <c r="E2070" s="51"/>
      <c r="F2070" s="41"/>
      <c r="G2070" s="52"/>
      <c r="H2070" s="42"/>
    </row>
    <row r="2071" spans="1:8" ht="18.75" customHeight="1" x14ac:dyDescent="0.3">
      <c r="A2071" s="43"/>
      <c r="B2071" s="39"/>
      <c r="E2071" s="51"/>
      <c r="F2071" s="41"/>
      <c r="G2071" s="52"/>
      <c r="H2071" s="42"/>
    </row>
    <row r="2072" spans="1:8" ht="18.75" customHeight="1" x14ac:dyDescent="0.3">
      <c r="A2072" s="43"/>
      <c r="B2072" s="39"/>
      <c r="E2072" s="51"/>
      <c r="F2072" s="41"/>
      <c r="G2072" s="52"/>
      <c r="H2072" s="42"/>
    </row>
    <row r="2073" spans="1:8" ht="18.75" customHeight="1" x14ac:dyDescent="0.3">
      <c r="A2073" s="43"/>
      <c r="B2073" s="39"/>
      <c r="E2073" s="51"/>
      <c r="F2073" s="41"/>
      <c r="G2073" s="52"/>
      <c r="H2073" s="42"/>
    </row>
    <row r="2074" spans="1:8" ht="18.75" customHeight="1" x14ac:dyDescent="0.3">
      <c r="A2074" s="43"/>
      <c r="B2074" s="39"/>
      <c r="E2074" s="51"/>
      <c r="F2074" s="41"/>
      <c r="G2074" s="52"/>
      <c r="H2074" s="42"/>
    </row>
    <row r="2075" spans="1:8" ht="18.75" customHeight="1" x14ac:dyDescent="0.3">
      <c r="A2075" s="43"/>
      <c r="B2075" s="39"/>
      <c r="E2075" s="51"/>
      <c r="F2075" s="41"/>
      <c r="G2075" s="52"/>
      <c r="H2075" s="42"/>
    </row>
    <row r="2076" spans="1:8" ht="18.75" customHeight="1" x14ac:dyDescent="0.3">
      <c r="A2076" s="43"/>
      <c r="B2076" s="39"/>
      <c r="E2076" s="51"/>
      <c r="F2076" s="41"/>
      <c r="G2076" s="52"/>
      <c r="H2076" s="42"/>
    </row>
    <row r="2077" spans="1:8" ht="18.75" customHeight="1" x14ac:dyDescent="0.3">
      <c r="A2077" s="43"/>
      <c r="B2077" s="39"/>
      <c r="E2077" s="51"/>
      <c r="F2077" s="41"/>
      <c r="G2077" s="52"/>
      <c r="H2077" s="42"/>
    </row>
    <row r="2078" spans="1:8" ht="18.75" customHeight="1" x14ac:dyDescent="0.3">
      <c r="A2078" s="43"/>
      <c r="B2078" s="39"/>
      <c r="E2078" s="51"/>
      <c r="F2078" s="41"/>
      <c r="G2078" s="52"/>
      <c r="H2078" s="42"/>
    </row>
    <row r="2079" spans="1:8" ht="18.75" customHeight="1" x14ac:dyDescent="0.3">
      <c r="A2079" s="43"/>
      <c r="B2079" s="39"/>
      <c r="E2079" s="51"/>
      <c r="F2079" s="41"/>
      <c r="G2079" s="52"/>
      <c r="H2079" s="42"/>
    </row>
    <row r="2080" spans="1:8" ht="18.75" customHeight="1" x14ac:dyDescent="0.3">
      <c r="A2080" s="43"/>
      <c r="B2080" s="39"/>
      <c r="E2080" s="51"/>
      <c r="F2080" s="41"/>
      <c r="G2080" s="52"/>
      <c r="H2080" s="42"/>
    </row>
    <row r="2081" spans="1:8" ht="18.75" customHeight="1" x14ac:dyDescent="0.3">
      <c r="A2081" s="43"/>
      <c r="B2081" s="39"/>
      <c r="E2081" s="51"/>
      <c r="F2081" s="41"/>
      <c r="G2081" s="52"/>
      <c r="H2081" s="42"/>
    </row>
    <row r="2082" spans="1:8" ht="18.75" customHeight="1" x14ac:dyDescent="0.3">
      <c r="A2082" s="43"/>
      <c r="B2082" s="39"/>
      <c r="E2082" s="51"/>
      <c r="F2082" s="41"/>
      <c r="G2082" s="52"/>
      <c r="H2082" s="42"/>
    </row>
    <row r="2083" spans="1:8" ht="18.75" customHeight="1" x14ac:dyDescent="0.3">
      <c r="A2083" s="43"/>
      <c r="B2083" s="39"/>
      <c r="E2083" s="51"/>
      <c r="F2083" s="41"/>
      <c r="G2083" s="52"/>
      <c r="H2083" s="42"/>
    </row>
    <row r="2084" spans="1:8" ht="18.75" customHeight="1" x14ac:dyDescent="0.3">
      <c r="A2084" s="43"/>
      <c r="B2084" s="39"/>
      <c r="E2084" s="51"/>
      <c r="F2084" s="41"/>
      <c r="G2084" s="52"/>
      <c r="H2084" s="42"/>
    </row>
    <row r="2085" spans="1:8" ht="18.75" customHeight="1" x14ac:dyDescent="0.3">
      <c r="A2085" s="43"/>
      <c r="B2085" s="39"/>
      <c r="E2085" s="51"/>
      <c r="F2085" s="41"/>
      <c r="G2085" s="52"/>
      <c r="H2085" s="42"/>
    </row>
    <row r="2086" spans="1:8" ht="18.75" customHeight="1" x14ac:dyDescent="0.3">
      <c r="A2086" s="43"/>
      <c r="B2086" s="39"/>
      <c r="E2086" s="51"/>
      <c r="F2086" s="41"/>
      <c r="G2086" s="52"/>
      <c r="H2086" s="42"/>
    </row>
    <row r="2087" spans="1:8" ht="18.75" customHeight="1" x14ac:dyDescent="0.3">
      <c r="A2087" s="43"/>
      <c r="B2087" s="39"/>
      <c r="E2087" s="51"/>
      <c r="F2087" s="41"/>
      <c r="G2087" s="52"/>
      <c r="H2087" s="42"/>
    </row>
    <row r="2088" spans="1:8" ht="18.75" customHeight="1" x14ac:dyDescent="0.3">
      <c r="A2088" s="43"/>
      <c r="B2088" s="39"/>
      <c r="E2088" s="51"/>
      <c r="F2088" s="41"/>
      <c r="G2088" s="52"/>
      <c r="H2088" s="42"/>
    </row>
    <row r="2089" spans="1:8" ht="18.75" customHeight="1" x14ac:dyDescent="0.3">
      <c r="A2089" s="43"/>
      <c r="B2089" s="39"/>
      <c r="E2089" s="51"/>
      <c r="F2089" s="41"/>
      <c r="G2089" s="52"/>
      <c r="H2089" s="42"/>
    </row>
    <row r="2090" spans="1:8" ht="18.75" customHeight="1" x14ac:dyDescent="0.3">
      <c r="A2090" s="43"/>
      <c r="B2090" s="39"/>
      <c r="E2090" s="51"/>
      <c r="F2090" s="41"/>
      <c r="G2090" s="52"/>
      <c r="H2090" s="42"/>
    </row>
    <row r="2091" spans="1:8" ht="18.75" customHeight="1" x14ac:dyDescent="0.3">
      <c r="A2091" s="43"/>
      <c r="B2091" s="39"/>
      <c r="E2091" s="51"/>
      <c r="F2091" s="41"/>
      <c r="G2091" s="52"/>
      <c r="H2091" s="42"/>
    </row>
    <row r="2092" spans="1:8" ht="18.75" customHeight="1" x14ac:dyDescent="0.3">
      <c r="A2092" s="43"/>
      <c r="B2092" s="39"/>
      <c r="E2092" s="51"/>
      <c r="F2092" s="41"/>
      <c r="G2092" s="52"/>
      <c r="H2092" s="42"/>
    </row>
    <row r="2093" spans="1:8" ht="18.75" customHeight="1" x14ac:dyDescent="0.3">
      <c r="A2093" s="43"/>
      <c r="B2093" s="39"/>
      <c r="E2093" s="51"/>
      <c r="F2093" s="41"/>
      <c r="G2093" s="52"/>
      <c r="H2093" s="42"/>
    </row>
    <row r="2094" spans="1:8" ht="18.75" customHeight="1" x14ac:dyDescent="0.3">
      <c r="A2094" s="43"/>
      <c r="B2094" s="39"/>
      <c r="E2094" s="51"/>
      <c r="F2094" s="41"/>
      <c r="G2094" s="52"/>
      <c r="H2094" s="42"/>
    </row>
    <row r="2095" spans="1:8" ht="18.75" customHeight="1" x14ac:dyDescent="0.3">
      <c r="A2095" s="43"/>
      <c r="B2095" s="39"/>
      <c r="E2095" s="51"/>
      <c r="F2095" s="41"/>
      <c r="G2095" s="52"/>
      <c r="H2095" s="42"/>
    </row>
    <row r="2096" spans="1:8" ht="18.75" customHeight="1" x14ac:dyDescent="0.3">
      <c r="A2096" s="43"/>
      <c r="B2096" s="39"/>
      <c r="E2096" s="51"/>
      <c r="F2096" s="41"/>
      <c r="G2096" s="52"/>
      <c r="H2096" s="42"/>
    </row>
    <row r="2097" spans="1:8" ht="18.75" customHeight="1" x14ac:dyDescent="0.3">
      <c r="A2097" s="43"/>
      <c r="B2097" s="39"/>
      <c r="E2097" s="51"/>
      <c r="F2097" s="41"/>
      <c r="G2097" s="52"/>
      <c r="H2097" s="42"/>
    </row>
    <row r="2098" spans="1:8" ht="18.75" customHeight="1" x14ac:dyDescent="0.3">
      <c r="A2098" s="43"/>
      <c r="B2098" s="39"/>
      <c r="E2098" s="51"/>
      <c r="F2098" s="41"/>
      <c r="G2098" s="52"/>
      <c r="H2098" s="42"/>
    </row>
    <row r="2099" spans="1:8" ht="18.75" customHeight="1" x14ac:dyDescent="0.3">
      <c r="A2099" s="43"/>
      <c r="B2099" s="39"/>
      <c r="E2099" s="51"/>
      <c r="F2099" s="41"/>
      <c r="G2099" s="52"/>
      <c r="H2099" s="42"/>
    </row>
    <row r="2100" spans="1:8" ht="18.75" customHeight="1" x14ac:dyDescent="0.3">
      <c r="A2100" s="43"/>
      <c r="B2100" s="39"/>
      <c r="E2100" s="51"/>
      <c r="F2100" s="41"/>
      <c r="G2100" s="52"/>
      <c r="H2100" s="42"/>
    </row>
    <row r="2101" spans="1:8" ht="18.75" customHeight="1" x14ac:dyDescent="0.3">
      <c r="A2101" s="43"/>
      <c r="B2101" s="39"/>
      <c r="E2101" s="51"/>
      <c r="F2101" s="41"/>
      <c r="G2101" s="52"/>
      <c r="H2101" s="42"/>
    </row>
    <row r="2102" spans="1:8" ht="18.75" customHeight="1" x14ac:dyDescent="0.3">
      <c r="A2102" s="43"/>
      <c r="B2102" s="39"/>
      <c r="E2102" s="51"/>
      <c r="F2102" s="41"/>
      <c r="G2102" s="52"/>
      <c r="H2102" s="42"/>
    </row>
    <row r="2103" spans="1:8" ht="18.75" customHeight="1" x14ac:dyDescent="0.3">
      <c r="A2103" s="43"/>
      <c r="B2103" s="39"/>
      <c r="E2103" s="51"/>
      <c r="F2103" s="41"/>
      <c r="G2103" s="52"/>
      <c r="H2103" s="42"/>
    </row>
    <row r="2104" spans="1:8" ht="18.75" customHeight="1" x14ac:dyDescent="0.3">
      <c r="A2104" s="43"/>
      <c r="B2104" s="39"/>
      <c r="E2104" s="51"/>
      <c r="F2104" s="41"/>
      <c r="G2104" s="52"/>
      <c r="H2104" s="42"/>
    </row>
    <row r="2105" spans="1:8" ht="18.75" customHeight="1" x14ac:dyDescent="0.3">
      <c r="A2105" s="43"/>
      <c r="B2105" s="39"/>
      <c r="E2105" s="51"/>
      <c r="F2105" s="41"/>
      <c r="G2105" s="52"/>
      <c r="H2105" s="42"/>
    </row>
    <row r="2106" spans="1:8" ht="18.75" customHeight="1" x14ac:dyDescent="0.3">
      <c r="A2106" s="43"/>
      <c r="B2106" s="39"/>
      <c r="E2106" s="51"/>
      <c r="F2106" s="41"/>
      <c r="G2106" s="52"/>
      <c r="H2106" s="42"/>
    </row>
    <row r="2107" spans="1:8" ht="18.75" customHeight="1" x14ac:dyDescent="0.3">
      <c r="A2107" s="43"/>
      <c r="B2107" s="39"/>
      <c r="E2107" s="51"/>
      <c r="F2107" s="41"/>
      <c r="G2107" s="52"/>
      <c r="H2107" s="42"/>
    </row>
    <row r="2108" spans="1:8" ht="18.75" customHeight="1" x14ac:dyDescent="0.3">
      <c r="A2108" s="43"/>
      <c r="B2108" s="39"/>
      <c r="E2108" s="51"/>
      <c r="F2108" s="41"/>
      <c r="G2108" s="52"/>
      <c r="H2108" s="42"/>
    </row>
    <row r="2109" spans="1:8" ht="18.75" customHeight="1" x14ac:dyDescent="0.3">
      <c r="A2109" s="43"/>
      <c r="B2109" s="39"/>
      <c r="E2109" s="51"/>
      <c r="F2109" s="41"/>
      <c r="G2109" s="52"/>
      <c r="H2109" s="42"/>
    </row>
    <row r="2110" spans="1:8" ht="18.75" customHeight="1" x14ac:dyDescent="0.3">
      <c r="A2110" s="43"/>
      <c r="B2110" s="39"/>
      <c r="E2110" s="51"/>
      <c r="F2110" s="41"/>
      <c r="G2110" s="52"/>
      <c r="H2110" s="42"/>
    </row>
    <row r="2111" spans="1:8" ht="18.75" customHeight="1" x14ac:dyDescent="0.3">
      <c r="A2111" s="43"/>
      <c r="B2111" s="39"/>
      <c r="E2111" s="51"/>
      <c r="F2111" s="41"/>
      <c r="G2111" s="52"/>
      <c r="H2111" s="42"/>
    </row>
    <row r="2112" spans="1:8" ht="18.75" customHeight="1" x14ac:dyDescent="0.3">
      <c r="A2112" s="43"/>
      <c r="B2112" s="39"/>
      <c r="E2112" s="51"/>
      <c r="F2112" s="41"/>
      <c r="G2112" s="52"/>
      <c r="H2112" s="42"/>
    </row>
    <row r="2113" spans="1:8" ht="18.75" customHeight="1" x14ac:dyDescent="0.3">
      <c r="A2113" s="43"/>
      <c r="B2113" s="39"/>
      <c r="E2113" s="51"/>
      <c r="F2113" s="41"/>
      <c r="G2113" s="52"/>
      <c r="H2113" s="42"/>
    </row>
    <row r="2114" spans="1:8" ht="18.75" customHeight="1" x14ac:dyDescent="0.3">
      <c r="A2114" s="43"/>
      <c r="B2114" s="39"/>
      <c r="E2114" s="51"/>
      <c r="F2114" s="41"/>
      <c r="G2114" s="52"/>
      <c r="H2114" s="42"/>
    </row>
    <row r="2115" spans="1:8" ht="18.75" customHeight="1" x14ac:dyDescent="0.3">
      <c r="A2115" s="43"/>
      <c r="B2115" s="39"/>
      <c r="E2115" s="51"/>
      <c r="F2115" s="41"/>
      <c r="G2115" s="52"/>
      <c r="H2115" s="42"/>
    </row>
    <row r="2116" spans="1:8" ht="18.75" customHeight="1" x14ac:dyDescent="0.3">
      <c r="A2116" s="43"/>
      <c r="B2116" s="39"/>
      <c r="E2116" s="51"/>
      <c r="F2116" s="41"/>
      <c r="G2116" s="52"/>
      <c r="H2116" s="42"/>
    </row>
  </sheetData>
  <mergeCells count="6337">
    <mergeCell ref="A2045:B2045"/>
    <mergeCell ref="G1177:H1177"/>
    <mergeCell ref="E45:F45"/>
    <mergeCell ref="A1713:B1713"/>
    <mergeCell ref="E694:F694"/>
    <mergeCell ref="A1098:B1098"/>
    <mergeCell ref="G1940:H1940"/>
    <mergeCell ref="G1477:H1477"/>
    <mergeCell ref="E345:F345"/>
    <mergeCell ref="A1010:B1010"/>
    <mergeCell ref="G1808:H1808"/>
    <mergeCell ref="G111:H111"/>
    <mergeCell ref="A1615:B1615"/>
    <mergeCell ref="A508:B508"/>
    <mergeCell ref="A483:B483"/>
    <mergeCell ref="G1738:H1738"/>
    <mergeCell ref="A597:B597"/>
    <mergeCell ref="E1819:F1819"/>
    <mergeCell ref="A1571:B1571"/>
    <mergeCell ref="G1149:H1149"/>
    <mergeCell ref="G1124:H1124"/>
    <mergeCell ref="A956:B956"/>
    <mergeCell ref="G1280:H1280"/>
    <mergeCell ref="E1820:F1820"/>
    <mergeCell ref="E1814:F1814"/>
    <mergeCell ref="G1912:H1912"/>
    <mergeCell ref="G1449:H1449"/>
    <mergeCell ref="G1580:H1580"/>
    <mergeCell ref="G1607:H1607"/>
    <mergeCell ref="A2044:B2044"/>
    <mergeCell ref="G1880:H1880"/>
    <mergeCell ref="G1907:H1907"/>
    <mergeCell ref="A1282:B1282"/>
    <mergeCell ref="G2097:H2097"/>
    <mergeCell ref="E965:F965"/>
    <mergeCell ref="A1929:B1929"/>
    <mergeCell ref="A232:B232"/>
    <mergeCell ref="G1074:H1074"/>
    <mergeCell ref="G611:H611"/>
    <mergeCell ref="E692:F692"/>
    <mergeCell ref="A532:B532"/>
    <mergeCell ref="E1324:F1324"/>
    <mergeCell ref="A227:B227"/>
    <mergeCell ref="E992:F992"/>
    <mergeCell ref="A444:B444"/>
    <mergeCell ref="E1019:F1019"/>
    <mergeCell ref="E1150:F1150"/>
    <mergeCell ref="G1084:H1084"/>
    <mergeCell ref="E1624:F1624"/>
    <mergeCell ref="E687:F687"/>
    <mergeCell ref="G785:H785"/>
    <mergeCell ref="E1319:F1319"/>
    <mergeCell ref="G322:H322"/>
    <mergeCell ref="E1450:F1450"/>
    <mergeCell ref="G1085:H1085"/>
    <mergeCell ref="G1079:H1079"/>
    <mergeCell ref="A460:B460"/>
    <mergeCell ref="G780:H780"/>
    <mergeCell ref="A612:B612"/>
    <mergeCell ref="A1217:B1217"/>
    <mergeCell ref="E1466:F1466"/>
    <mergeCell ref="A912:B912"/>
    <mergeCell ref="A455:B455"/>
    <mergeCell ref="E1161:F1161"/>
    <mergeCell ref="G813:H813"/>
    <mergeCell ref="E2080:F2080"/>
    <mergeCell ref="E2055:F2055"/>
    <mergeCell ref="G1846:H1846"/>
    <mergeCell ref="G1427:H1427"/>
    <mergeCell ref="A885:B885"/>
    <mergeCell ref="G1727:H1727"/>
    <mergeCell ref="G30:H30"/>
    <mergeCell ref="E595:F595"/>
    <mergeCell ref="A1559:B1559"/>
    <mergeCell ref="G1841:H1841"/>
    <mergeCell ref="G2027:H2027"/>
    <mergeCell ref="A1859:B1859"/>
    <mergeCell ref="A1979:B1979"/>
    <mergeCell ref="E2108:F2108"/>
    <mergeCell ref="E497:F497"/>
    <mergeCell ref="E192:F192"/>
    <mergeCell ref="E323:F323"/>
    <mergeCell ref="A1860:B1860"/>
    <mergeCell ref="A1875:B1875"/>
    <mergeCell ref="E623:F623"/>
    <mergeCell ref="A1701:B1701"/>
    <mergeCell ref="A90:B90"/>
    <mergeCell ref="A2001:B2001"/>
    <mergeCell ref="E34:F34"/>
    <mergeCell ref="A390:B390"/>
    <mergeCell ref="E639:F639"/>
    <mergeCell ref="A85:B85"/>
    <mergeCell ref="E797:F797"/>
    <mergeCell ref="E334:F334"/>
    <mergeCell ref="G2096:H2096"/>
    <mergeCell ref="G557:H557"/>
    <mergeCell ref="E1613:F1613"/>
    <mergeCell ref="E2069:F2069"/>
    <mergeCell ref="E2044:F2044"/>
    <mergeCell ref="A748:B748"/>
    <mergeCell ref="E1608:F1608"/>
    <mergeCell ref="A574:B574"/>
    <mergeCell ref="G1374:H1374"/>
    <mergeCell ref="A1206:B1206"/>
    <mergeCell ref="G1368:H1368"/>
    <mergeCell ref="E2064:F2064"/>
    <mergeCell ref="A743:B743"/>
    <mergeCell ref="A874:B874"/>
    <mergeCell ref="A901:B901"/>
    <mergeCell ref="G1699:H1699"/>
    <mergeCell ref="A1506:B1506"/>
    <mergeCell ref="A1201:B1201"/>
    <mergeCell ref="E269:F269"/>
    <mergeCell ref="G1515:H1515"/>
    <mergeCell ref="E1097:F1097"/>
    <mergeCell ref="E1091:F1091"/>
    <mergeCell ref="E634:F634"/>
    <mergeCell ref="E1308:F1308"/>
    <mergeCell ref="G311:H311"/>
    <mergeCell ref="G857:H857"/>
    <mergeCell ref="E1766:F1766"/>
    <mergeCell ref="G769:H769"/>
    <mergeCell ref="A1212:B1212"/>
    <mergeCell ref="G927:H927"/>
    <mergeCell ref="E1461:F1461"/>
    <mergeCell ref="G464:H464"/>
    <mergeCell ref="G1138:H1138"/>
    <mergeCell ref="G1113:H1113"/>
    <mergeCell ref="E1678:F1678"/>
    <mergeCell ref="A63:B63"/>
    <mergeCell ref="E2016:F2016"/>
    <mergeCell ref="G1019:H1019"/>
    <mergeCell ref="E2010:F2010"/>
    <mergeCell ref="G1013:H1013"/>
    <mergeCell ref="E1553:F1553"/>
    <mergeCell ref="G1171:H1171"/>
    <mergeCell ref="E1711:F1711"/>
    <mergeCell ref="G714:H714"/>
    <mergeCell ref="A546:B546"/>
    <mergeCell ref="G1776:H1776"/>
    <mergeCell ref="E2011:F2011"/>
    <mergeCell ref="G1014:H1014"/>
    <mergeCell ref="A846:B846"/>
    <mergeCell ref="A427:B427"/>
    <mergeCell ref="A1609:B1609"/>
    <mergeCell ref="A1146:B1146"/>
    <mergeCell ref="G1373:H1373"/>
    <mergeCell ref="E241:F241"/>
    <mergeCell ref="E1913:F1913"/>
    <mergeCell ref="G100:H100"/>
    <mergeCell ref="G94:H94"/>
    <mergeCell ref="A155:B155"/>
    <mergeCell ref="G681:H681"/>
    <mergeCell ref="G1227:H1227"/>
    <mergeCell ref="A602:B602"/>
    <mergeCell ref="A640:B640"/>
    <mergeCell ref="G764:H764"/>
    <mergeCell ref="A596:B596"/>
    <mergeCell ref="G1438:H1438"/>
    <mergeCell ref="A297:B297"/>
    <mergeCell ref="A902:B902"/>
    <mergeCell ref="E2005:F2005"/>
    <mergeCell ref="E1999:F1999"/>
    <mergeCell ref="G1002:H1002"/>
    <mergeCell ref="E519:F519"/>
    <mergeCell ref="E56:F56"/>
    <mergeCell ref="G1765:H1765"/>
    <mergeCell ref="E214:F214"/>
    <mergeCell ref="G1302:H1302"/>
    <mergeCell ref="G1976:H1976"/>
    <mergeCell ref="A835:B835"/>
    <mergeCell ref="G2090:H2090"/>
    <mergeCell ref="G2065:H2065"/>
    <mergeCell ref="A1440:B1440"/>
    <mergeCell ref="A1135:B1135"/>
    <mergeCell ref="A1740:B1740"/>
    <mergeCell ref="E230:F230"/>
    <mergeCell ref="A1435:B1435"/>
    <mergeCell ref="E530:F530"/>
    <mergeCell ref="E661:F661"/>
    <mergeCell ref="G207:H207"/>
    <mergeCell ref="E225:F225"/>
    <mergeCell ref="E741:F741"/>
    <mergeCell ref="G1987:H1987"/>
    <mergeCell ref="G507:H507"/>
    <mergeCell ref="A1908:B1908"/>
    <mergeCell ref="G202:H202"/>
    <mergeCell ref="G1988:H1988"/>
    <mergeCell ref="G291:H291"/>
    <mergeCell ref="G807:H807"/>
    <mergeCell ref="A1820:B1820"/>
    <mergeCell ref="G502:H502"/>
    <mergeCell ref="E1188:F1188"/>
    <mergeCell ref="E1971:F1971"/>
    <mergeCell ref="A781:B781"/>
    <mergeCell ref="G1623:H1623"/>
    <mergeCell ref="E491:F491"/>
    <mergeCell ref="G1318:H1318"/>
    <mergeCell ref="E1858:F1858"/>
    <mergeCell ref="G1274:H1274"/>
    <mergeCell ref="G1923:H1923"/>
    <mergeCell ref="E791:F791"/>
    <mergeCell ref="G1618:H1618"/>
    <mergeCell ref="A1412:B1412"/>
    <mergeCell ref="A993:B993"/>
    <mergeCell ref="A1107:B1107"/>
    <mergeCell ref="E61:F61"/>
    <mergeCell ref="A1756:B1756"/>
    <mergeCell ref="A1712:B1712"/>
    <mergeCell ref="A1293:B1293"/>
    <mergeCell ref="E889:F889"/>
    <mergeCell ref="E883:F883"/>
    <mergeCell ref="A335:B335"/>
    <mergeCell ref="E426:F426"/>
    <mergeCell ref="E1041:F1041"/>
    <mergeCell ref="A1504:B1504"/>
    <mergeCell ref="G649:H649"/>
    <mergeCell ref="G344:H344"/>
    <mergeCell ref="E884:F884"/>
    <mergeCell ref="A1804:B1804"/>
    <mergeCell ref="G949:H949"/>
    <mergeCell ref="A1962:B1962"/>
    <mergeCell ref="A324:B324"/>
    <mergeCell ref="A482:B482"/>
    <mergeCell ref="G644:H644"/>
    <mergeCell ref="E1960:F1960"/>
    <mergeCell ref="G938:H938"/>
    <mergeCell ref="A313:B313"/>
    <mergeCell ref="G475:H475"/>
    <mergeCell ref="A307:B307"/>
    <mergeCell ref="A8:B8"/>
    <mergeCell ref="G1263:H1263"/>
    <mergeCell ref="G1238:H1238"/>
    <mergeCell ref="E1803:F1803"/>
    <mergeCell ref="A613:B613"/>
    <mergeCell ref="A765:B765"/>
    <mergeCell ref="A308:B308"/>
    <mergeCell ref="G1563:H1563"/>
    <mergeCell ref="A608:B608"/>
    <mergeCell ref="E1857:F1857"/>
    <mergeCell ref="E160:F160"/>
    <mergeCell ref="G991:H991"/>
    <mergeCell ref="A1396:B1396"/>
    <mergeCell ref="A19:B19"/>
    <mergeCell ref="G861:H861"/>
    <mergeCell ref="A782:B782"/>
    <mergeCell ref="E1357:F1357"/>
    <mergeCell ref="A319:B319"/>
    <mergeCell ref="A477:B477"/>
    <mergeCell ref="E1657:F1657"/>
    <mergeCell ref="G660:H660"/>
    <mergeCell ref="A79:B79"/>
    <mergeCell ref="G241:H241"/>
    <mergeCell ref="G1334:H1334"/>
    <mergeCell ref="E1874:F1874"/>
    <mergeCell ref="E1868:F1868"/>
    <mergeCell ref="G355:H355"/>
    <mergeCell ref="E1906:F1906"/>
    <mergeCell ref="G909:H909"/>
    <mergeCell ref="E1449:F1449"/>
    <mergeCell ref="A895:B895"/>
    <mergeCell ref="E1607:F1607"/>
    <mergeCell ref="E1144:F1144"/>
    <mergeCell ref="E1907:F1907"/>
    <mergeCell ref="G910:H910"/>
    <mergeCell ref="A742:B742"/>
    <mergeCell ref="G904:H904"/>
    <mergeCell ref="E1602:F1602"/>
    <mergeCell ref="G605:H605"/>
    <mergeCell ref="A928:B928"/>
    <mergeCell ref="E122:F122"/>
    <mergeCell ref="G1210:H1210"/>
    <mergeCell ref="A1042:B1042"/>
    <mergeCell ref="A585:B585"/>
    <mergeCell ref="A623:B623"/>
    <mergeCell ref="E1291:F1291"/>
    <mergeCell ref="E872:F872"/>
    <mergeCell ref="A1342:B1342"/>
    <mergeCell ref="E1477:F1477"/>
    <mergeCell ref="G638:H638"/>
    <mergeCell ref="E1591:F1591"/>
    <mergeCell ref="E1178:F1178"/>
    <mergeCell ref="E1172:F1172"/>
    <mergeCell ref="G175:H175"/>
    <mergeCell ref="G1029:H1029"/>
    <mergeCell ref="E1569:F1569"/>
    <mergeCell ref="G572:H572"/>
    <mergeCell ref="A379:B379"/>
    <mergeCell ref="G1634:H1634"/>
    <mergeCell ref="G83:H83"/>
    <mergeCell ref="G235:H235"/>
    <mergeCell ref="A1695:B1695"/>
    <mergeCell ref="A215:B215"/>
    <mergeCell ref="A373:B373"/>
    <mergeCell ref="E464:F464"/>
    <mergeCell ref="E159:F159"/>
    <mergeCell ref="A673:B673"/>
    <mergeCell ref="E764:F764"/>
    <mergeCell ref="E922:F922"/>
    <mergeCell ref="E1438:F1438"/>
    <mergeCell ref="E459:F459"/>
    <mergeCell ref="E1133:F1133"/>
    <mergeCell ref="G136:H136"/>
    <mergeCell ref="E676:F676"/>
    <mergeCell ref="E1222:F1222"/>
    <mergeCell ref="E1738:F1738"/>
    <mergeCell ref="G768:H768"/>
    <mergeCell ref="G436:H436"/>
    <mergeCell ref="A243:B243"/>
    <mergeCell ref="G1068:H1068"/>
    <mergeCell ref="G736:H736"/>
    <mergeCell ref="E1149:F1149"/>
    <mergeCell ref="E844:F844"/>
    <mergeCell ref="A493:B493"/>
    <mergeCell ref="G1329:H1329"/>
    <mergeCell ref="A679:B679"/>
    <mergeCell ref="G388:H388"/>
    <mergeCell ref="A793:B793"/>
    <mergeCell ref="A1467:B1467"/>
    <mergeCell ref="E1716:F1716"/>
    <mergeCell ref="E1253:F1253"/>
    <mergeCell ref="E94:F94"/>
    <mergeCell ref="A1631:B1631"/>
    <mergeCell ref="G1340:H1340"/>
    <mergeCell ref="E311:F311"/>
    <mergeCell ref="E2091:F2091"/>
    <mergeCell ref="E6:F6"/>
    <mergeCell ref="A1543:B1543"/>
    <mergeCell ref="E95:F95"/>
    <mergeCell ref="E611:F611"/>
    <mergeCell ref="E89:F89"/>
    <mergeCell ref="G1857:H1857"/>
    <mergeCell ref="E306:F306"/>
    <mergeCell ref="G1552:H1552"/>
    <mergeCell ref="A1553:B1553"/>
    <mergeCell ref="A1690:B1690"/>
    <mergeCell ref="G1852:H1852"/>
    <mergeCell ref="A1684:B1684"/>
    <mergeCell ref="E779:F779"/>
    <mergeCell ref="E322:F322"/>
    <mergeCell ref="E17:F17"/>
    <mergeCell ref="A1685:B1685"/>
    <mergeCell ref="E1079:F1079"/>
    <mergeCell ref="G82:H82"/>
    <mergeCell ref="E622:F622"/>
    <mergeCell ref="E1237:F1237"/>
    <mergeCell ref="G240:H240"/>
    <mergeCell ref="E780:F780"/>
    <mergeCell ref="E774:F774"/>
    <mergeCell ref="A1700:B1700"/>
    <mergeCell ref="G2026:H2026"/>
    <mergeCell ref="E991:F991"/>
    <mergeCell ref="G540:H540"/>
    <mergeCell ref="G66:H66"/>
    <mergeCell ref="G1159:H1159"/>
    <mergeCell ref="E1699:F1699"/>
    <mergeCell ref="E1693:F1693"/>
    <mergeCell ref="A1145:B1145"/>
    <mergeCell ref="A204:B204"/>
    <mergeCell ref="G1459:H1459"/>
    <mergeCell ref="G1154:H1154"/>
    <mergeCell ref="A504:B504"/>
    <mergeCell ref="G1759:H1759"/>
    <mergeCell ref="G213:H213"/>
    <mergeCell ref="A1292:B1292"/>
    <mergeCell ref="G1454:H1454"/>
    <mergeCell ref="G513:H513"/>
    <mergeCell ref="A1592:B1592"/>
    <mergeCell ref="E55:F55"/>
    <mergeCell ref="G724:H724"/>
    <mergeCell ref="A1287:B1287"/>
    <mergeCell ref="E1422:F1422"/>
    <mergeCell ref="G425:H425"/>
    <mergeCell ref="E1536:F1536"/>
    <mergeCell ref="G1470:H1470"/>
    <mergeCell ref="E1722:F1722"/>
    <mergeCell ref="A426:B426"/>
    <mergeCell ref="G725:H725"/>
    <mergeCell ref="A557:B557"/>
    <mergeCell ref="A1162:B1162"/>
    <mergeCell ref="A857:B857"/>
    <mergeCell ref="E110:F110"/>
    <mergeCell ref="G1198:H1198"/>
    <mergeCell ref="E410:F410"/>
    <mergeCell ref="A873:B873"/>
    <mergeCell ref="G2102:H2102"/>
    <mergeCell ref="A106:B106"/>
    <mergeCell ref="E355:F355"/>
    <mergeCell ref="A1892:B1892"/>
    <mergeCell ref="E1029:F1029"/>
    <mergeCell ref="G32:H32"/>
    <mergeCell ref="E572:F572"/>
    <mergeCell ref="E566:F566"/>
    <mergeCell ref="E1329:F1329"/>
    <mergeCell ref="G332:H332"/>
    <mergeCell ref="E866:F866"/>
    <mergeCell ref="G421:H421"/>
    <mergeCell ref="E1024:F1024"/>
    <mergeCell ref="A1950:B1950"/>
    <mergeCell ref="G27:H27"/>
    <mergeCell ref="G2112:H2112"/>
    <mergeCell ref="A1487:B1487"/>
    <mergeCell ref="G632:H632"/>
    <mergeCell ref="A1645:B1645"/>
    <mergeCell ref="G790:H790"/>
    <mergeCell ref="G327:H327"/>
    <mergeCell ref="A1945:B1945"/>
    <mergeCell ref="E1013:F1013"/>
    <mergeCell ref="A465:B465"/>
    <mergeCell ref="E1040:F1040"/>
    <mergeCell ref="E708:F708"/>
    <mergeCell ref="E1340:F1340"/>
    <mergeCell ref="G343:H343"/>
    <mergeCell ref="E1471:F1471"/>
    <mergeCell ref="G501:H501"/>
    <mergeCell ref="G55:H55"/>
    <mergeCell ref="G1106:H1106"/>
    <mergeCell ref="E197:F197"/>
    <mergeCell ref="A1123:B1123"/>
    <mergeCell ref="G1443:H1443"/>
    <mergeCell ref="A660:B660"/>
    <mergeCell ref="A818:B818"/>
    <mergeCell ref="G2048:H2048"/>
    <mergeCell ref="A1880:B1880"/>
    <mergeCell ref="A1423:B1423"/>
    <mergeCell ref="A1581:B1581"/>
    <mergeCell ref="A1118:B1118"/>
    <mergeCell ref="E213:F213"/>
    <mergeCell ref="E344:F344"/>
    <mergeCell ref="A1881:B1881"/>
    <mergeCell ref="G1590:H1590"/>
    <mergeCell ref="E39:F39"/>
    <mergeCell ref="E513:F513"/>
    <mergeCell ref="G1801:H1801"/>
    <mergeCell ref="E644:F644"/>
    <mergeCell ref="G1890:H1890"/>
    <mergeCell ref="E339:F339"/>
    <mergeCell ref="G1970:H1970"/>
    <mergeCell ref="A2022:B2022"/>
    <mergeCell ref="A1803:B1803"/>
    <mergeCell ref="G801:H801"/>
    <mergeCell ref="E1341:F1341"/>
    <mergeCell ref="A176:B176"/>
    <mergeCell ref="G1012:H1012"/>
    <mergeCell ref="A939:B939"/>
    <mergeCell ref="G1101:H1101"/>
    <mergeCell ref="E1068:F1068"/>
    <mergeCell ref="G71:H71"/>
    <mergeCell ref="A476:B476"/>
    <mergeCell ref="G2101:H2101"/>
    <mergeCell ref="E969:F969"/>
    <mergeCell ref="E1618:F1618"/>
    <mergeCell ref="G621:H621"/>
    <mergeCell ref="E1574:F1574"/>
    <mergeCell ref="E1155:F1155"/>
    <mergeCell ref="G735:H735"/>
    <mergeCell ref="G316:H316"/>
    <mergeCell ref="E1943:F1943"/>
    <mergeCell ref="E1918:F1918"/>
    <mergeCell ref="G921:H921"/>
    <mergeCell ref="A753:B753"/>
    <mergeCell ref="G1035:H1035"/>
    <mergeCell ref="E1002:F1002"/>
    <mergeCell ref="A448:B448"/>
    <mergeCell ref="E1302:F1302"/>
    <mergeCell ref="A754:B754"/>
    <mergeCell ref="E997:F997"/>
    <mergeCell ref="E1629:F1629"/>
    <mergeCell ref="E1297:F1297"/>
    <mergeCell ref="G1420:H1420"/>
    <mergeCell ref="G1395:H1395"/>
    <mergeCell ref="A1379:B1379"/>
    <mergeCell ref="E2085:F2085"/>
    <mergeCell ref="A764:B764"/>
    <mergeCell ref="A922:B922"/>
    <mergeCell ref="G1720:H1720"/>
    <mergeCell ref="G1301:H1301"/>
    <mergeCell ref="A1228:B1228"/>
    <mergeCell ref="A1222:B1222"/>
    <mergeCell ref="G2020:H2020"/>
    <mergeCell ref="E1987:F1987"/>
    <mergeCell ref="A40:B40"/>
    <mergeCell ref="A67:B67"/>
    <mergeCell ref="G882:H882"/>
    <mergeCell ref="A672:B672"/>
    <mergeCell ref="A2037:B2037"/>
    <mergeCell ref="A340:B340"/>
    <mergeCell ref="A252:B252"/>
    <mergeCell ref="G262:H262"/>
    <mergeCell ref="E802:F802"/>
    <mergeCell ref="G1050:H1050"/>
    <mergeCell ref="E1590:F1590"/>
    <mergeCell ref="G593:H593"/>
    <mergeCell ref="G1356:H1356"/>
    <mergeCell ref="A95:B95"/>
    <mergeCell ref="G1350:H1350"/>
    <mergeCell ref="E1890:F1890"/>
    <mergeCell ref="G893:H893"/>
    <mergeCell ref="A420:B420"/>
    <mergeCell ref="A395:B395"/>
    <mergeCell ref="G1351:H1351"/>
    <mergeCell ref="E1318:F1318"/>
    <mergeCell ref="G321:H321"/>
    <mergeCell ref="E1274:F1274"/>
    <mergeCell ref="A726:B726"/>
    <mergeCell ref="E855:F855"/>
    <mergeCell ref="G990:H990"/>
    <mergeCell ref="A1522:B1522"/>
    <mergeCell ref="E202:F202"/>
    <mergeCell ref="G1290:H1290"/>
    <mergeCell ref="G1448:H1448"/>
    <mergeCell ref="A1853:B1853"/>
    <mergeCell ref="E291:F291"/>
    <mergeCell ref="G523:H523"/>
    <mergeCell ref="A1836:B1836"/>
    <mergeCell ref="G2036:H2036"/>
    <mergeCell ref="E904:F904"/>
    <mergeCell ref="A356:B356"/>
    <mergeCell ref="E447:F447"/>
    <mergeCell ref="E605:F605"/>
    <mergeCell ref="G539:H539"/>
    <mergeCell ref="E816:F816"/>
    <mergeCell ref="G234:H234"/>
    <mergeCell ref="E905:F905"/>
    <mergeCell ref="A1869:B1869"/>
    <mergeCell ref="E899:F899"/>
    <mergeCell ref="A1406:B1406"/>
    <mergeCell ref="E1116:F1116"/>
    <mergeCell ref="A372:B372"/>
    <mergeCell ref="A1737:B1737"/>
    <mergeCell ref="E1988:F1988"/>
    <mergeCell ref="E1982:F1982"/>
    <mergeCell ref="A823:B823"/>
    <mergeCell ref="G985:H985"/>
    <mergeCell ref="E502:F502"/>
    <mergeCell ref="G1748:H1748"/>
    <mergeCell ref="E1368:F1368"/>
    <mergeCell ref="G371:H371"/>
    <mergeCell ref="E1841:F1841"/>
    <mergeCell ref="A1031:B1031"/>
    <mergeCell ref="G1193:H1193"/>
    <mergeCell ref="A568:B568"/>
    <mergeCell ref="A1242:B1242"/>
    <mergeCell ref="G1524:H1524"/>
    <mergeCell ref="A1331:B1331"/>
    <mergeCell ref="A29:B29"/>
    <mergeCell ref="G1284:H1284"/>
    <mergeCell ref="G1259:H1259"/>
    <mergeCell ref="E1824:F1824"/>
    <mergeCell ref="E1818:F1818"/>
    <mergeCell ref="G1916:H1916"/>
    <mergeCell ref="A786:B786"/>
    <mergeCell ref="A329:B329"/>
    <mergeCell ref="G1584:H1584"/>
    <mergeCell ref="A1003:B1003"/>
    <mergeCell ref="A540:B540"/>
    <mergeCell ref="A629:B629"/>
    <mergeCell ref="E1878:F1878"/>
    <mergeCell ref="G881:H881"/>
    <mergeCell ref="E1247:F1247"/>
    <mergeCell ref="G1181:H1181"/>
    <mergeCell ref="E1721:F1721"/>
    <mergeCell ref="G1339:H1339"/>
    <mergeCell ref="E1879:F1879"/>
    <mergeCell ref="A714:B714"/>
    <mergeCell ref="G876:H876"/>
    <mergeCell ref="A251:B251"/>
    <mergeCell ref="G1639:H1639"/>
    <mergeCell ref="G1182:H1182"/>
    <mergeCell ref="A1014:B1014"/>
    <mergeCell ref="A1619:B1619"/>
    <mergeCell ref="A709:B709"/>
    <mergeCell ref="A1314:B1314"/>
    <mergeCell ref="A1472:B1472"/>
    <mergeCell ref="E235:F235"/>
    <mergeCell ref="G1323:H1323"/>
    <mergeCell ref="A1772:B1772"/>
    <mergeCell ref="G54:H54"/>
    <mergeCell ref="G212:H212"/>
    <mergeCell ref="E1165:F1165"/>
    <mergeCell ref="A617:B617"/>
    <mergeCell ref="E752:F752"/>
    <mergeCell ref="E746:F746"/>
    <mergeCell ref="G512:H512"/>
    <mergeCell ref="E1052:F1052"/>
    <mergeCell ref="G468:H468"/>
    <mergeCell ref="G1117:H1117"/>
    <mergeCell ref="A492:B492"/>
    <mergeCell ref="E1834:F1834"/>
    <mergeCell ref="G837:H837"/>
    <mergeCell ref="G812:H812"/>
    <mergeCell ref="A644:B644"/>
    <mergeCell ref="A187:B187"/>
    <mergeCell ref="A487:B487"/>
    <mergeCell ref="E1193:F1193"/>
    <mergeCell ref="A645:B645"/>
    <mergeCell ref="G196:H196"/>
    <mergeCell ref="G984:H984"/>
    <mergeCell ref="E1524:F1524"/>
    <mergeCell ref="A970:B970"/>
    <mergeCell ref="G1170:H1170"/>
    <mergeCell ref="A856:B856"/>
    <mergeCell ref="G1534:H1534"/>
    <mergeCell ref="G1235:H1235"/>
    <mergeCell ref="A1156:B1156"/>
    <mergeCell ref="G1535:H1535"/>
    <mergeCell ref="A1367:B1367"/>
    <mergeCell ref="A1456:B1456"/>
    <mergeCell ref="E551:F551"/>
    <mergeCell ref="E66:F66"/>
    <mergeCell ref="A1603:B1603"/>
    <mergeCell ref="A1717:B1717"/>
    <mergeCell ref="A2017:B2017"/>
    <mergeCell ref="E1154:F1154"/>
    <mergeCell ref="G157:H157"/>
    <mergeCell ref="G132:H132"/>
    <mergeCell ref="E697:F697"/>
    <mergeCell ref="E691:F691"/>
    <mergeCell ref="E849:F849"/>
    <mergeCell ref="G789:H789"/>
    <mergeCell ref="E1454:F1454"/>
    <mergeCell ref="G457:H457"/>
    <mergeCell ref="G484:H484"/>
    <mergeCell ref="G1089:H1089"/>
    <mergeCell ref="G152:H152"/>
    <mergeCell ref="G757:H757"/>
    <mergeCell ref="G784:H784"/>
    <mergeCell ref="A616:B616"/>
    <mergeCell ref="E751:F751"/>
    <mergeCell ref="A290:B290"/>
    <mergeCell ref="E1470:F1470"/>
    <mergeCell ref="A916:B916"/>
    <mergeCell ref="E1051:F1051"/>
    <mergeCell ref="G1964:H1964"/>
    <mergeCell ref="G1939:H1939"/>
    <mergeCell ref="E1863:F1863"/>
    <mergeCell ref="A1667:B1667"/>
    <mergeCell ref="G2008:H2008"/>
    <mergeCell ref="E463:F463"/>
    <mergeCell ref="A1053:B1053"/>
    <mergeCell ref="G223:H223"/>
    <mergeCell ref="E2112:F2112"/>
    <mergeCell ref="E27:F27"/>
    <mergeCell ref="A1564:B1564"/>
    <mergeCell ref="G1273:H1273"/>
    <mergeCell ref="E1813:F1813"/>
    <mergeCell ref="E116:F116"/>
    <mergeCell ref="E1807:F1807"/>
    <mergeCell ref="E196:F196"/>
    <mergeCell ref="E327:F327"/>
    <mergeCell ref="G1573:H1573"/>
    <mergeCell ref="E2113:F2113"/>
    <mergeCell ref="E22:F22"/>
    <mergeCell ref="G1268:H1268"/>
    <mergeCell ref="G1784:H1784"/>
    <mergeCell ref="A1574:B1574"/>
    <mergeCell ref="G1873:H1873"/>
    <mergeCell ref="A1705:B1705"/>
    <mergeCell ref="E343:F343"/>
    <mergeCell ref="E38:F38"/>
    <mergeCell ref="A1575:B1575"/>
    <mergeCell ref="A1706:B1706"/>
    <mergeCell ref="A89:B89"/>
    <mergeCell ref="E801:F801"/>
    <mergeCell ref="E338:F338"/>
    <mergeCell ref="E496:F496"/>
    <mergeCell ref="E1101:F1101"/>
    <mergeCell ref="G104:H104"/>
    <mergeCell ref="E707:F707"/>
    <mergeCell ref="G1795:H1795"/>
    <mergeCell ref="A1303:B1303"/>
    <mergeCell ref="G99:H99"/>
    <mergeCell ref="A1628:B1628"/>
    <mergeCell ref="E2068:F2068"/>
    <mergeCell ref="E2043:F2043"/>
    <mergeCell ref="G1046:H1046"/>
    <mergeCell ref="G1073:H1073"/>
    <mergeCell ref="A878:B878"/>
    <mergeCell ref="A579:B579"/>
    <mergeCell ref="G1834:H1834"/>
    <mergeCell ref="A573:B573"/>
    <mergeCell ref="A1205:B1205"/>
    <mergeCell ref="G1131:H1131"/>
    <mergeCell ref="E1665:F1665"/>
    <mergeCell ref="G668:H668"/>
    <mergeCell ref="G1220:H1220"/>
    <mergeCell ref="G1214:H1214"/>
    <mergeCell ref="E1754:F1754"/>
    <mergeCell ref="A589:B589"/>
    <mergeCell ref="G1431:H1431"/>
    <mergeCell ref="G1520:H1520"/>
    <mergeCell ref="G1126:H1126"/>
    <mergeCell ref="G1731:H1731"/>
    <mergeCell ref="A1563:B1563"/>
    <mergeCell ref="G1889:H1889"/>
    <mergeCell ref="E1812:F1812"/>
    <mergeCell ref="A890:B890"/>
    <mergeCell ref="E763:F763"/>
    <mergeCell ref="G2009:H2009"/>
    <mergeCell ref="G828:H828"/>
    <mergeCell ref="A1841:B1841"/>
    <mergeCell ref="A1378:B1378"/>
    <mergeCell ref="A1542:B1542"/>
    <mergeCell ref="E1791:F1791"/>
    <mergeCell ref="E1080:F1080"/>
    <mergeCell ref="A78:B78"/>
    <mergeCell ref="G1333:H1333"/>
    <mergeCell ref="A378:B378"/>
    <mergeCell ref="G87:H87"/>
    <mergeCell ref="E627:F627"/>
    <mergeCell ref="E1720:F1720"/>
    <mergeCell ref="G761:H761"/>
    <mergeCell ref="A1166:B1166"/>
    <mergeCell ref="E1415:F1415"/>
    <mergeCell ref="G418:H418"/>
    <mergeCell ref="G393:H393"/>
    <mergeCell ref="E996:F996"/>
    <mergeCell ref="E2020:F2020"/>
    <mergeCell ref="E1601:F1601"/>
    <mergeCell ref="A436:B436"/>
    <mergeCell ref="E1715:F1715"/>
    <mergeCell ref="G718:H718"/>
    <mergeCell ref="E685:F685"/>
    <mergeCell ref="A525:B525"/>
    <mergeCell ref="A1917:B1917"/>
    <mergeCell ref="A220:B220"/>
    <mergeCell ref="A736:B736"/>
    <mergeCell ref="G1062:H1062"/>
    <mergeCell ref="E2015:F2015"/>
    <mergeCell ref="G1018:H1018"/>
    <mergeCell ref="E985:F985"/>
    <mergeCell ref="A437:B437"/>
    <mergeCell ref="A431:B431"/>
    <mergeCell ref="E680:F680"/>
    <mergeCell ref="A520:B520"/>
    <mergeCell ref="E1443:F1443"/>
    <mergeCell ref="G446:H446"/>
    <mergeCell ref="A39:B39"/>
    <mergeCell ref="A1825:B1825"/>
    <mergeCell ref="E893:F893"/>
    <mergeCell ref="A339:B339"/>
    <mergeCell ref="E1045:F1045"/>
    <mergeCell ref="G48:H48"/>
    <mergeCell ref="E588:F588"/>
    <mergeCell ref="A1552:B1552"/>
    <mergeCell ref="G653:H653"/>
    <mergeCell ref="A1666:B1666"/>
    <mergeCell ref="G2045:H2045"/>
    <mergeCell ref="G348:H348"/>
    <mergeCell ref="E888:F888"/>
    <mergeCell ref="A1852:B1852"/>
    <mergeCell ref="A1966:B1966"/>
    <mergeCell ref="E2101:F2101"/>
    <mergeCell ref="A1547:B1547"/>
    <mergeCell ref="G648:H648"/>
    <mergeCell ref="E615:F615"/>
    <mergeCell ref="A181:B181"/>
    <mergeCell ref="E316:F316"/>
    <mergeCell ref="G250:H250"/>
    <mergeCell ref="A1967:B1967"/>
    <mergeCell ref="G76:H76"/>
    <mergeCell ref="A481:B481"/>
    <mergeCell ref="E616:F616"/>
    <mergeCell ref="A1694:B1694"/>
    <mergeCell ref="E1273:F1273"/>
    <mergeCell ref="A83:B83"/>
    <mergeCell ref="E941:F941"/>
    <mergeCell ref="E916:F916"/>
    <mergeCell ref="A1863:B1863"/>
    <mergeCell ref="G1981:H1981"/>
    <mergeCell ref="E234:F234"/>
    <mergeCell ref="G2095:H2095"/>
    <mergeCell ref="A1902:B1902"/>
    <mergeCell ref="G1034:H1034"/>
    <mergeCell ref="A1439:B1439"/>
    <mergeCell ref="A1597:B1597"/>
    <mergeCell ref="A567:B567"/>
    <mergeCell ref="E229:F229"/>
    <mergeCell ref="E2057:F2057"/>
    <mergeCell ref="A1897:B1897"/>
    <mergeCell ref="G1991:H1991"/>
    <mergeCell ref="A867:B867"/>
    <mergeCell ref="E446:F446"/>
    <mergeCell ref="A1524:B1524"/>
    <mergeCell ref="G206:H206"/>
    <mergeCell ref="A1167:B1167"/>
    <mergeCell ref="G1992:H1992"/>
    <mergeCell ref="A1824:B1824"/>
    <mergeCell ref="G506:H506"/>
    <mergeCell ref="E593:F593"/>
    <mergeCell ref="G1033:H1033"/>
    <mergeCell ref="A1994:B1994"/>
    <mergeCell ref="E1573:F1573"/>
    <mergeCell ref="A383:B383"/>
    <mergeCell ref="E986:F986"/>
    <mergeCell ref="E980:F980"/>
    <mergeCell ref="G1078:H1078"/>
    <mergeCell ref="E1768:F1768"/>
    <mergeCell ref="E1743:F1743"/>
    <mergeCell ref="A447:B447"/>
    <mergeCell ref="G746:H746"/>
    <mergeCell ref="A12:B12"/>
    <mergeCell ref="A775:B775"/>
    <mergeCell ref="G937:H937"/>
    <mergeCell ref="A312:B312"/>
    <mergeCell ref="E1018:F1018"/>
    <mergeCell ref="A470:B470"/>
    <mergeCell ref="E1235:F1235"/>
    <mergeCell ref="E1650:F1650"/>
    <mergeCell ref="G864:H864"/>
    <mergeCell ref="G995:H995"/>
    <mergeCell ref="G1022:H1022"/>
    <mergeCell ref="E1535:F1535"/>
    <mergeCell ref="G1627:H1627"/>
    <mergeCell ref="G690:H690"/>
    <mergeCell ref="E1230:F1230"/>
    <mergeCell ref="G1322:H1322"/>
    <mergeCell ref="E1862:F1862"/>
    <mergeCell ref="E165:F165"/>
    <mergeCell ref="G865:H865"/>
    <mergeCell ref="A697:B697"/>
    <mergeCell ref="G996:H996"/>
    <mergeCell ref="A1460:B1460"/>
    <mergeCell ref="G1622:H1622"/>
    <mergeCell ref="A997:B997"/>
    <mergeCell ref="A1760:B1760"/>
    <mergeCell ref="A1297:B1297"/>
    <mergeCell ref="A1455:B1455"/>
    <mergeCell ref="G1006:H1006"/>
    <mergeCell ref="G1164:H1164"/>
    <mergeCell ref="E1704:F1704"/>
    <mergeCell ref="E523:F523"/>
    <mergeCell ref="E218:F218"/>
    <mergeCell ref="A2113:B2113"/>
    <mergeCell ref="A416:B416"/>
    <mergeCell ref="A633:B633"/>
    <mergeCell ref="G795:H795"/>
    <mergeCell ref="A747:B747"/>
    <mergeCell ref="E876:F876"/>
    <mergeCell ref="A328:B328"/>
    <mergeCell ref="A284:B284"/>
    <mergeCell ref="A628:B628"/>
    <mergeCell ref="G179:H179"/>
    <mergeCell ref="G337:H337"/>
    <mergeCell ref="E877:F877"/>
    <mergeCell ref="E1939:F1939"/>
    <mergeCell ref="G942:H942"/>
    <mergeCell ref="A1955:B1955"/>
    <mergeCell ref="A317:B317"/>
    <mergeCell ref="E1659:F1659"/>
    <mergeCell ref="G662:H662"/>
    <mergeCell ref="G637:H637"/>
    <mergeCell ref="A469:B469"/>
    <mergeCell ref="E1993:F1993"/>
    <mergeCell ref="G1927:H1927"/>
    <mergeCell ref="E2009:F2009"/>
    <mergeCell ref="E2003:F2003"/>
    <mergeCell ref="E1915:F1915"/>
    <mergeCell ref="A1755:B1755"/>
    <mergeCell ref="G1464:H1464"/>
    <mergeCell ref="E2004:F2004"/>
    <mergeCell ref="G1007:H1007"/>
    <mergeCell ref="A839:B839"/>
    <mergeCell ref="A1444:B1444"/>
    <mergeCell ref="A534:B534"/>
    <mergeCell ref="E10:F10"/>
    <mergeCell ref="G1256:H1256"/>
    <mergeCell ref="E1796:F1796"/>
    <mergeCell ref="G1345:H1345"/>
    <mergeCell ref="G1861:H1861"/>
    <mergeCell ref="G951:H951"/>
    <mergeCell ref="E310:F310"/>
    <mergeCell ref="G1556:H1556"/>
    <mergeCell ref="A1388:B1388"/>
    <mergeCell ref="G1856:H1856"/>
    <mergeCell ref="A1688:B1688"/>
    <mergeCell ref="G2014:H2014"/>
    <mergeCell ref="A1389:B1389"/>
    <mergeCell ref="A1383:B1383"/>
    <mergeCell ref="E2095:F2095"/>
    <mergeCell ref="E484:F484"/>
    <mergeCell ref="E21:F21"/>
    <mergeCell ref="G1941:H1941"/>
    <mergeCell ref="G244:H244"/>
    <mergeCell ref="E784:F784"/>
    <mergeCell ref="G2030:H2030"/>
    <mergeCell ref="E479:F479"/>
    <mergeCell ref="G1725:H1725"/>
    <mergeCell ref="G544:H544"/>
    <mergeCell ref="E1242:F1242"/>
    <mergeCell ref="G245:H245"/>
    <mergeCell ref="A1749:B1749"/>
    <mergeCell ref="G456:H456"/>
    <mergeCell ref="A1417:B1417"/>
    <mergeCell ref="E468:F468"/>
    <mergeCell ref="E49:F49"/>
    <mergeCell ref="G1295:H1295"/>
    <mergeCell ref="E2111:F2111"/>
    <mergeCell ref="G1114:H1114"/>
    <mergeCell ref="G1660:H1660"/>
    <mergeCell ref="G1203:H1203"/>
    <mergeCell ref="A1035:B1035"/>
    <mergeCell ref="G1877:H1877"/>
    <mergeCell ref="G898:H898"/>
    <mergeCell ref="G1414:H1414"/>
    <mergeCell ref="A730:B730"/>
    <mergeCell ref="A1335:B1335"/>
    <mergeCell ref="A1493:B1493"/>
    <mergeCell ref="G1714:H1714"/>
    <mergeCell ref="A1030:B1030"/>
    <mergeCell ref="G1872:H1872"/>
    <mergeCell ref="E1795:F1795"/>
    <mergeCell ref="A1247:B1247"/>
    <mergeCell ref="E1579:F1579"/>
    <mergeCell ref="E812:F812"/>
    <mergeCell ref="G2083:H2083"/>
    <mergeCell ref="E1137:F1137"/>
    <mergeCell ref="A1733:B1733"/>
    <mergeCell ref="G903:H903"/>
    <mergeCell ref="A1453:B1453"/>
    <mergeCell ref="E1311:F1311"/>
    <mergeCell ref="G1980:H1980"/>
    <mergeCell ref="E848:F848"/>
    <mergeCell ref="G2111:H2111"/>
    <mergeCell ref="E1611:F1611"/>
    <mergeCell ref="E1148:F1148"/>
    <mergeCell ref="G800:H800"/>
    <mergeCell ref="A1813:B1813"/>
    <mergeCell ref="E1911:F1911"/>
    <mergeCell ref="E1426:F1426"/>
    <mergeCell ref="G429:H429"/>
    <mergeCell ref="A261:B261"/>
    <mergeCell ref="A350:B350"/>
    <mergeCell ref="E1726:F1726"/>
    <mergeCell ref="G729:H729"/>
    <mergeCell ref="A982:B982"/>
    <mergeCell ref="A561:B561"/>
    <mergeCell ref="A1742:B1742"/>
    <mergeCell ref="G887:H887"/>
    <mergeCell ref="A677:B677"/>
    <mergeCell ref="A256:B256"/>
    <mergeCell ref="E1600:F1600"/>
    <mergeCell ref="E114:F114"/>
    <mergeCell ref="E1900:F1900"/>
    <mergeCell ref="E1479:F1479"/>
    <mergeCell ref="E1437:F1437"/>
    <mergeCell ref="E163:F163"/>
    <mergeCell ref="G598:H598"/>
    <mergeCell ref="G614:H614"/>
    <mergeCell ref="G195:H195"/>
    <mergeCell ref="G309:H309"/>
    <mergeCell ref="A116:B116"/>
    <mergeCell ref="G914:H914"/>
    <mergeCell ref="G495:H495"/>
    <mergeCell ref="A327:B327"/>
    <mergeCell ref="G1764:H1764"/>
    <mergeCell ref="A1596:B1596"/>
    <mergeCell ref="A1139:B1139"/>
    <mergeCell ref="G773:H773"/>
    <mergeCell ref="A578:B578"/>
    <mergeCell ref="A501:B501"/>
    <mergeCell ref="G31:H31"/>
    <mergeCell ref="E571:F571"/>
    <mergeCell ref="G1817:H1817"/>
    <mergeCell ref="A1649:B1649"/>
    <mergeCell ref="A1624:B1624"/>
    <mergeCell ref="G331:H331"/>
    <mergeCell ref="E418:F418"/>
    <mergeCell ref="A1993:B1993"/>
    <mergeCell ref="A1949:B1949"/>
    <mergeCell ref="E718:F718"/>
    <mergeCell ref="E712:F712"/>
    <mergeCell ref="A164:B164"/>
    <mergeCell ref="G1545:H1545"/>
    <mergeCell ref="E413:F413"/>
    <mergeCell ref="E1176:F1176"/>
    <mergeCell ref="G1870:H1870"/>
    <mergeCell ref="G1845:H1845"/>
    <mergeCell ref="E713:F713"/>
    <mergeCell ref="A1677:B1677"/>
    <mergeCell ref="A1214:B1214"/>
    <mergeCell ref="A1977:B1977"/>
    <mergeCell ref="E1072:F1072"/>
    <mergeCell ref="G75:H75"/>
    <mergeCell ref="E773:F773"/>
    <mergeCell ref="G533:H533"/>
    <mergeCell ref="E1073:F1073"/>
    <mergeCell ref="G70:H70"/>
    <mergeCell ref="G744:H744"/>
    <mergeCell ref="G858:H858"/>
    <mergeCell ref="G833:H833"/>
    <mergeCell ref="E1398:F1398"/>
    <mergeCell ref="A208:B208"/>
    <mergeCell ref="A1280:B1280"/>
    <mergeCell ref="E2045:F2045"/>
    <mergeCell ref="E348:F348"/>
    <mergeCell ref="G1594:H1594"/>
    <mergeCell ref="E43:F43"/>
    <mergeCell ref="A1580:B1580"/>
    <mergeCell ref="G1805:H1805"/>
    <mergeCell ref="E1829:F1829"/>
    <mergeCell ref="E648:F648"/>
    <mergeCell ref="G1894:H1894"/>
    <mergeCell ref="G1806:H1806"/>
    <mergeCell ref="A1613:B1613"/>
    <mergeCell ref="E728:F728"/>
    <mergeCell ref="G1816:H1816"/>
    <mergeCell ref="E271:F271"/>
    <mergeCell ref="A1324:B1324"/>
    <mergeCell ref="E1028:F1028"/>
    <mergeCell ref="A366:B366"/>
    <mergeCell ref="G1158:H1158"/>
    <mergeCell ref="G745:H745"/>
    <mergeCell ref="E1214:F1214"/>
    <mergeCell ref="A666:B666"/>
    <mergeCell ref="A203:B203"/>
    <mergeCell ref="E1425:F1425"/>
    <mergeCell ref="G428:H428"/>
    <mergeCell ref="E1545:F1545"/>
    <mergeCell ref="E1126:F1126"/>
    <mergeCell ref="G129:H129"/>
    <mergeCell ref="E1731:F1731"/>
    <mergeCell ref="G734:H734"/>
    <mergeCell ref="E1845:F1845"/>
    <mergeCell ref="G886:H886"/>
    <mergeCell ref="G2105:H2105"/>
    <mergeCell ref="G20:H20"/>
    <mergeCell ref="E560:F560"/>
    <mergeCell ref="E1622:F1622"/>
    <mergeCell ref="G625:H625"/>
    <mergeCell ref="E1317:F1317"/>
    <mergeCell ref="G320:H320"/>
    <mergeCell ref="A1938:B1938"/>
    <mergeCell ref="A757:B757"/>
    <mergeCell ref="G1083:H1083"/>
    <mergeCell ref="E1617:F1617"/>
    <mergeCell ref="A458:B458"/>
    <mergeCell ref="G620:H620"/>
    <mergeCell ref="A452:B452"/>
    <mergeCell ref="E701:F701"/>
    <mergeCell ref="G1408:H1408"/>
    <mergeCell ref="E1464:F1464"/>
    <mergeCell ref="E1007:F1007"/>
    <mergeCell ref="E1001:F1001"/>
    <mergeCell ref="A453:B453"/>
    <mergeCell ref="G162:H162"/>
    <mergeCell ref="G678:H678"/>
    <mergeCell ref="E702:F702"/>
    <mergeCell ref="E1212:F1212"/>
    <mergeCell ref="E1764:F1764"/>
    <mergeCell ref="A468:B468"/>
    <mergeCell ref="G767:H767"/>
    <mergeCell ref="G794:H794"/>
    <mergeCell ref="G462:H462"/>
    <mergeCell ref="G978:H978"/>
    <mergeCell ref="G1094:H1094"/>
    <mergeCell ref="G673:H673"/>
    <mergeCell ref="G2094:H2094"/>
    <mergeCell ref="E962:F962"/>
    <mergeCell ref="E937:F937"/>
    <mergeCell ref="G1789:H1789"/>
    <mergeCell ref="E1262:F1262"/>
    <mergeCell ref="G292:H292"/>
    <mergeCell ref="G267:H267"/>
    <mergeCell ref="A99:B99"/>
    <mergeCell ref="A1464:B1464"/>
    <mergeCell ref="G1055:H1055"/>
    <mergeCell ref="E559:F559"/>
    <mergeCell ref="A2096:B2096"/>
    <mergeCell ref="G108:H108"/>
    <mergeCell ref="E1322:F1322"/>
    <mergeCell ref="G325:H325"/>
    <mergeCell ref="E859:F859"/>
    <mergeCell ref="A311:B311"/>
    <mergeCell ref="E1017:F1017"/>
    <mergeCell ref="A926:B926"/>
    <mergeCell ref="E1061:F1061"/>
    <mergeCell ref="A600:B600"/>
    <mergeCell ref="G762:H762"/>
    <mergeCell ref="A594:B594"/>
    <mergeCell ref="G1394:H1394"/>
    <mergeCell ref="A811:B811"/>
    <mergeCell ref="A1226:B1226"/>
    <mergeCell ref="E1361:F1361"/>
    <mergeCell ref="A769:B769"/>
    <mergeCell ref="A927:B927"/>
    <mergeCell ref="E1686:F1686"/>
    <mergeCell ref="G689:H689"/>
    <mergeCell ref="G1452:H1452"/>
    <mergeCell ref="A60:B60"/>
    <mergeCell ref="E195:F195"/>
    <mergeCell ref="G1441:H1441"/>
    <mergeCell ref="E309:F309"/>
    <mergeCell ref="A1846:B1846"/>
    <mergeCell ref="A1840:B1840"/>
    <mergeCell ref="E1975:F1975"/>
    <mergeCell ref="A360:B360"/>
    <mergeCell ref="E495:F495"/>
    <mergeCell ref="G1741:H1741"/>
    <mergeCell ref="E609:F609"/>
    <mergeCell ref="E190:F190"/>
    <mergeCell ref="G1278:H1278"/>
    <mergeCell ref="E795:F795"/>
    <mergeCell ref="E953:F953"/>
    <mergeCell ref="G2041:H2041"/>
    <mergeCell ref="G2066:H2066"/>
    <mergeCell ref="E909:F909"/>
    <mergeCell ref="E490:F490"/>
    <mergeCell ref="A1568:B1568"/>
    <mergeCell ref="A1111:B1111"/>
    <mergeCell ref="E179:F179"/>
    <mergeCell ref="A1874:B1874"/>
    <mergeCell ref="A1868:B1868"/>
    <mergeCell ref="A1411:B1411"/>
    <mergeCell ref="G1794:H1794"/>
    <mergeCell ref="E662:F662"/>
    <mergeCell ref="E637:F637"/>
    <mergeCell ref="E1992:F1992"/>
    <mergeCell ref="G989:H989"/>
    <mergeCell ref="G1147:H1147"/>
    <mergeCell ref="E1687:F1687"/>
    <mergeCell ref="E2025:F2025"/>
    <mergeCell ref="A860:B860"/>
    <mergeCell ref="A441:B441"/>
    <mergeCell ref="G1239:H1239"/>
    <mergeCell ref="A1046:B1046"/>
    <mergeCell ref="A1160:B1160"/>
    <mergeCell ref="E1295:F1295"/>
    <mergeCell ref="G2002:H2002"/>
    <mergeCell ref="A741:B741"/>
    <mergeCell ref="G1539:H1539"/>
    <mergeCell ref="G1697:H1697"/>
    <mergeCell ref="G1997:H1997"/>
    <mergeCell ref="A1372:B1372"/>
    <mergeCell ref="E2078:F2078"/>
    <mergeCell ref="E598:F598"/>
    <mergeCell ref="G1844:H1844"/>
    <mergeCell ref="E162:F162"/>
    <mergeCell ref="A1188:B1188"/>
    <mergeCell ref="G2013:H2013"/>
    <mergeCell ref="A1845:B1845"/>
    <mergeCell ref="A1540:B1540"/>
    <mergeCell ref="G1839:H1839"/>
    <mergeCell ref="A522:B522"/>
    <mergeCell ref="A497:B497"/>
    <mergeCell ref="G1752:H1752"/>
    <mergeCell ref="G1910:H1910"/>
    <mergeCell ref="A1285:B1285"/>
    <mergeCell ref="G1447:H1447"/>
    <mergeCell ref="A822:B822"/>
    <mergeCell ref="A1585:B1585"/>
    <mergeCell ref="G1747:H1747"/>
    <mergeCell ref="A1122:B1122"/>
    <mergeCell ref="A33:B33"/>
    <mergeCell ref="E1872:F1872"/>
    <mergeCell ref="G875:H875"/>
    <mergeCell ref="E1409:F1409"/>
    <mergeCell ref="A2030:B2030"/>
    <mergeCell ref="A333:B333"/>
    <mergeCell ref="A491:B491"/>
    <mergeCell ref="A28:B28"/>
    <mergeCell ref="G870:H870"/>
    <mergeCell ref="A245:B245"/>
    <mergeCell ref="E951:F951"/>
    <mergeCell ref="A791:B791"/>
    <mergeCell ref="G1043:H1043"/>
    <mergeCell ref="E1556:F1556"/>
    <mergeCell ref="E1583:F1583"/>
    <mergeCell ref="G711:H711"/>
    <mergeCell ref="E1251:F1251"/>
    <mergeCell ref="A61:B61"/>
    <mergeCell ref="G1343:H1343"/>
    <mergeCell ref="E1883:F1883"/>
    <mergeCell ref="E2014:F2014"/>
    <mergeCell ref="A718:B718"/>
    <mergeCell ref="G1038:H1038"/>
    <mergeCell ref="E1551:F1551"/>
    <mergeCell ref="A413:B413"/>
    <mergeCell ref="G1643:H1643"/>
    <mergeCell ref="A1475:B1475"/>
    <mergeCell ref="A1018:B1018"/>
    <mergeCell ref="G1344:H1344"/>
    <mergeCell ref="A1176:B1176"/>
    <mergeCell ref="G1338:H1338"/>
    <mergeCell ref="A713:B713"/>
    <mergeCell ref="A2095:B2095"/>
    <mergeCell ref="E70:F70"/>
    <mergeCell ref="A1738:B1738"/>
    <mergeCell ref="E228:F228"/>
    <mergeCell ref="G1316:H1316"/>
    <mergeCell ref="E553:F553"/>
    <mergeCell ref="E528:F528"/>
    <mergeCell ref="A2090:B2090"/>
    <mergeCell ref="E96:F96"/>
    <mergeCell ref="A1149:B1149"/>
    <mergeCell ref="G1985:H1985"/>
    <mergeCell ref="A1360:B1360"/>
    <mergeCell ref="A1474:B1474"/>
    <mergeCell ref="G488:H488"/>
    <mergeCell ref="A1449:B1449"/>
    <mergeCell ref="E740:F740"/>
    <mergeCell ref="G156:H156"/>
    <mergeCell ref="A1660:B1660"/>
    <mergeCell ref="G788:H788"/>
    <mergeCell ref="A1774:B1774"/>
    <mergeCell ref="E755:F755"/>
    <mergeCell ref="E423:F423"/>
    <mergeCell ref="A2074:B2074"/>
    <mergeCell ref="G216:H216"/>
    <mergeCell ref="E756:F756"/>
    <mergeCell ref="E750:F750"/>
    <mergeCell ref="E887:F887"/>
    <mergeCell ref="G516:H516"/>
    <mergeCell ref="A348:B348"/>
    <mergeCell ref="G211:H211"/>
    <mergeCell ref="A1829:B1829"/>
    <mergeCell ref="A648:B648"/>
    <mergeCell ref="E26:F26"/>
    <mergeCell ref="G1735:H1735"/>
    <mergeCell ref="G1272:H1272"/>
    <mergeCell ref="A622:B622"/>
    <mergeCell ref="A1709:B1709"/>
    <mergeCell ref="A1410:B1410"/>
    <mergeCell ref="G1572:H1572"/>
    <mergeCell ref="A991:B991"/>
    <mergeCell ref="A1105:B1105"/>
    <mergeCell ref="G1174:H1174"/>
    <mergeCell ref="A1579:B1579"/>
    <mergeCell ref="A1710:B1710"/>
    <mergeCell ref="E805:F805"/>
    <mergeCell ref="A1405:B1405"/>
    <mergeCell ref="G1605:H1605"/>
    <mergeCell ref="A1007:B1007"/>
    <mergeCell ref="A702:B702"/>
    <mergeCell ref="A1307:B1307"/>
    <mergeCell ref="A1438:B1438"/>
    <mergeCell ref="A1002:B1002"/>
    <mergeCell ref="A191:B191"/>
    <mergeCell ref="E897:F897"/>
    <mergeCell ref="A349:B349"/>
    <mergeCell ref="E1055:F1055"/>
    <mergeCell ref="A649:B649"/>
    <mergeCell ref="E1355:F1355"/>
    <mergeCell ref="G358:H358"/>
    <mergeCell ref="E898:F898"/>
    <mergeCell ref="E892:F892"/>
    <mergeCell ref="G569:H569"/>
    <mergeCell ref="E1109:F1109"/>
    <mergeCell ref="E1655:F1655"/>
    <mergeCell ref="E136:F136"/>
    <mergeCell ref="G1224:H1224"/>
    <mergeCell ref="E1827:F1827"/>
    <mergeCell ref="G830:H830"/>
    <mergeCell ref="A637:B637"/>
    <mergeCell ref="G919:H919"/>
    <mergeCell ref="G1435:H1435"/>
    <mergeCell ref="G1130:H1130"/>
    <mergeCell ref="A937:B937"/>
    <mergeCell ref="G1893:H1893"/>
    <mergeCell ref="A1268:B1268"/>
    <mergeCell ref="A1262:B1262"/>
    <mergeCell ref="G1588:H1588"/>
    <mergeCell ref="G1277:H1277"/>
    <mergeCell ref="E1817:F1817"/>
    <mergeCell ref="E1855:F1855"/>
    <mergeCell ref="E1811:F1811"/>
    <mergeCell ref="G972:H972"/>
    <mergeCell ref="E1512:F1512"/>
    <mergeCell ref="G1621:H1621"/>
    <mergeCell ref="A322:B322"/>
    <mergeCell ref="G1577:H1577"/>
    <mergeCell ref="G658:H658"/>
    <mergeCell ref="E1223:F1223"/>
    <mergeCell ref="A1476:B1476"/>
    <mergeCell ref="G1027:H1027"/>
    <mergeCell ref="E1725:F1725"/>
    <mergeCell ref="A1171:B1171"/>
    <mergeCell ref="G1371:H1371"/>
    <mergeCell ref="E239:F239"/>
    <mergeCell ref="G939:H939"/>
    <mergeCell ref="A1776:B1776"/>
    <mergeCell ref="E15:F15"/>
    <mergeCell ref="G80:H80"/>
    <mergeCell ref="E620:F620"/>
    <mergeCell ref="G1866:H1866"/>
    <mergeCell ref="E315:F315"/>
    <mergeCell ref="A1998:B1998"/>
    <mergeCell ref="A1699:B1699"/>
    <mergeCell ref="A1693:B1693"/>
    <mergeCell ref="A82:B82"/>
    <mergeCell ref="G406:H406"/>
    <mergeCell ref="E1005:F1005"/>
    <mergeCell ref="G8:H8"/>
    <mergeCell ref="E1094:F1094"/>
    <mergeCell ref="E700:F700"/>
    <mergeCell ref="G765:H765"/>
    <mergeCell ref="E1305:F1305"/>
    <mergeCell ref="G308:H308"/>
    <mergeCell ref="E1000:F1000"/>
    <mergeCell ref="E1605:F1605"/>
    <mergeCell ref="G92:H92"/>
    <mergeCell ref="G608:H608"/>
    <mergeCell ref="G766:H766"/>
    <mergeCell ref="A598:B598"/>
    <mergeCell ref="A141:B141"/>
    <mergeCell ref="A135:B135"/>
    <mergeCell ref="A1921:B1921"/>
    <mergeCell ref="A224:B224"/>
    <mergeCell ref="A435:B435"/>
    <mergeCell ref="E1147:F1147"/>
    <mergeCell ref="G150:H150"/>
    <mergeCell ref="E684:F684"/>
    <mergeCell ref="E842:F842"/>
    <mergeCell ref="E172:F172"/>
    <mergeCell ref="E2089:F2089"/>
    <mergeCell ref="G1119:H1119"/>
    <mergeCell ref="E592:F592"/>
    <mergeCell ref="A1556:B1556"/>
    <mergeCell ref="G1838:H1838"/>
    <mergeCell ref="A1856:B1856"/>
    <mergeCell ref="A2014:B2014"/>
    <mergeCell ref="E2105:F2105"/>
    <mergeCell ref="E20:F20"/>
    <mergeCell ref="A1557:B1557"/>
    <mergeCell ref="A1551:B1551"/>
    <mergeCell ref="A1671:B1671"/>
    <mergeCell ref="E1800:F1800"/>
    <mergeCell ref="E320:F320"/>
    <mergeCell ref="G1566:H1566"/>
    <mergeCell ref="E2100:F2100"/>
    <mergeCell ref="G2088:H2088"/>
    <mergeCell ref="E1447:F1447"/>
    <mergeCell ref="G450:H450"/>
    <mergeCell ref="E1142:F1142"/>
    <mergeCell ref="G145:H145"/>
    <mergeCell ref="E1747:F1747"/>
    <mergeCell ref="G750:H750"/>
    <mergeCell ref="A582:B582"/>
    <mergeCell ref="E1905:F1905"/>
    <mergeCell ref="G908:H908"/>
    <mergeCell ref="E1442:F1442"/>
    <mergeCell ref="A283:B283"/>
    <mergeCell ref="G445:H445"/>
    <mergeCell ref="A277:B277"/>
    <mergeCell ref="A2063:B2063"/>
    <mergeCell ref="A16:B16"/>
    <mergeCell ref="E722:F722"/>
    <mergeCell ref="A174:B174"/>
    <mergeCell ref="A1954:B1954"/>
    <mergeCell ref="A474:B474"/>
    <mergeCell ref="E603:F603"/>
    <mergeCell ref="E723:F723"/>
    <mergeCell ref="E717:F717"/>
    <mergeCell ref="E934:F934"/>
    <mergeCell ref="E1023:F1023"/>
    <mergeCell ref="E1539:F1539"/>
    <mergeCell ref="E1697:F1697"/>
    <mergeCell ref="G700:H700"/>
    <mergeCell ref="G694:H694"/>
    <mergeCell ref="E1234:F1234"/>
    <mergeCell ref="A44:B44"/>
    <mergeCell ref="G869:H869"/>
    <mergeCell ref="A832:B832"/>
    <mergeCell ref="E1692:F1692"/>
    <mergeCell ref="A396:B396"/>
    <mergeCell ref="G695:H695"/>
    <mergeCell ref="A527:B527"/>
    <mergeCell ref="E1707:F1707"/>
    <mergeCell ref="G710:H710"/>
    <mergeCell ref="G1054:H1054"/>
    <mergeCell ref="G1168:H1168"/>
    <mergeCell ref="E1708:F1708"/>
    <mergeCell ref="E1702:F1702"/>
    <mergeCell ref="A543:B543"/>
    <mergeCell ref="G705:H705"/>
    <mergeCell ref="G1354:H1354"/>
    <mergeCell ref="E222:F222"/>
    <mergeCell ref="A32:B32"/>
    <mergeCell ref="A1943:B1943"/>
    <mergeCell ref="A332:B332"/>
    <mergeCell ref="E1038:F1038"/>
    <mergeCell ref="G41:H41"/>
    <mergeCell ref="E581:F581"/>
    <mergeCell ref="E575:F575"/>
    <mergeCell ref="E1338:F1338"/>
    <mergeCell ref="G2038:H2038"/>
    <mergeCell ref="G341:H341"/>
    <mergeCell ref="E881:F881"/>
    <mergeCell ref="E1555:F1555"/>
    <mergeCell ref="E1033:F1033"/>
    <mergeCell ref="A1959:B1959"/>
    <mergeCell ref="G36:H36"/>
    <mergeCell ref="E1638:F1638"/>
    <mergeCell ref="G641:H641"/>
    <mergeCell ref="A473:B473"/>
    <mergeCell ref="E2013:F2013"/>
    <mergeCell ref="G1468:H1468"/>
    <mergeCell ref="E2008:F2008"/>
    <mergeCell ref="A887:B887"/>
    <mergeCell ref="G1011:H1011"/>
    <mergeCell ref="A843:B843"/>
    <mergeCell ref="G1685:H1685"/>
    <mergeCell ref="A424:B424"/>
    <mergeCell ref="A538:B538"/>
    <mergeCell ref="A1187:B1187"/>
    <mergeCell ref="G738:H738"/>
    <mergeCell ref="A1143:B1143"/>
    <mergeCell ref="A724:B724"/>
    <mergeCell ref="G439:H439"/>
    <mergeCell ref="A2106:B2106"/>
    <mergeCell ref="A1801:B1801"/>
    <mergeCell ref="E2050:F2050"/>
    <mergeCell ref="G1984:H1984"/>
    <mergeCell ref="E439:F439"/>
    <mergeCell ref="G2115:H2115"/>
    <mergeCell ref="E107:F107"/>
    <mergeCell ref="G1810:H1810"/>
    <mergeCell ref="G172:H172"/>
    <mergeCell ref="G199:H199"/>
    <mergeCell ref="E739:F739"/>
    <mergeCell ref="G288:H288"/>
    <mergeCell ref="A1817:B1817"/>
    <mergeCell ref="A120:B120"/>
    <mergeCell ref="G2116:H2116"/>
    <mergeCell ref="G2110:H2110"/>
    <mergeCell ref="G499:H499"/>
    <mergeCell ref="A1512:B1512"/>
    <mergeCell ref="E580:F580"/>
    <mergeCell ref="E973:F973"/>
    <mergeCell ref="E1761:F1761"/>
    <mergeCell ref="G739:H739"/>
    <mergeCell ref="E2061:F2061"/>
    <mergeCell ref="G1039:H1039"/>
    <mergeCell ref="A871:B871"/>
    <mergeCell ref="G1696:H1696"/>
    <mergeCell ref="A572:B572"/>
    <mergeCell ref="G1827:H1827"/>
    <mergeCell ref="A566:B566"/>
    <mergeCell ref="G1996:H1996"/>
    <mergeCell ref="A866:B866"/>
    <mergeCell ref="A1523:B1523"/>
    <mergeCell ref="E183:F183"/>
    <mergeCell ref="G983:H983"/>
    <mergeCell ref="G2034:H2034"/>
    <mergeCell ref="E483:F483"/>
    <mergeCell ref="A990:B990"/>
    <mergeCell ref="A1121:B1121"/>
    <mergeCell ref="G1283:H1283"/>
    <mergeCell ref="A816:B816"/>
    <mergeCell ref="A1290:B1290"/>
    <mergeCell ref="A1421:B1421"/>
    <mergeCell ref="E1996:F1996"/>
    <mergeCell ref="A1116:B1116"/>
    <mergeCell ref="E211:F211"/>
    <mergeCell ref="G2087:H2087"/>
    <mergeCell ref="G2062:H2062"/>
    <mergeCell ref="G1668:H1668"/>
    <mergeCell ref="E511:F511"/>
    <mergeCell ref="G1782:H1782"/>
    <mergeCell ref="A1589:B1589"/>
    <mergeCell ref="A1132:B1132"/>
    <mergeCell ref="G302:H302"/>
    <mergeCell ref="A1806:B1806"/>
    <mergeCell ref="G1968:H1968"/>
    <mergeCell ref="A827:B827"/>
    <mergeCell ref="G2082:H2082"/>
    <mergeCell ref="A1432:B1432"/>
    <mergeCell ref="G1822:H1822"/>
    <mergeCell ref="E1789:F1789"/>
    <mergeCell ref="A583:B583"/>
    <mergeCell ref="A577:B577"/>
    <mergeCell ref="E1832:F1832"/>
    <mergeCell ref="A278:B278"/>
    <mergeCell ref="E1932:F1932"/>
    <mergeCell ref="G960:H960"/>
    <mergeCell ref="G935:H935"/>
    <mergeCell ref="E1652:F1652"/>
    <mergeCell ref="G655:H655"/>
    <mergeCell ref="A462:B462"/>
    <mergeCell ref="G1260:H1260"/>
    <mergeCell ref="E1952:F1952"/>
    <mergeCell ref="G955:H955"/>
    <mergeCell ref="A762:B762"/>
    <mergeCell ref="A305:B305"/>
    <mergeCell ref="G1560:H1560"/>
    <mergeCell ref="G1718:H1718"/>
    <mergeCell ref="A1550:B1550"/>
    <mergeCell ref="A1093:B1093"/>
    <mergeCell ref="A1087:B1087"/>
    <mergeCell ref="G2018:H2018"/>
    <mergeCell ref="E1985:F1985"/>
    <mergeCell ref="G988:H988"/>
    <mergeCell ref="A1393:B1393"/>
    <mergeCell ref="E1522:F1522"/>
    <mergeCell ref="E1680:F1680"/>
    <mergeCell ref="G683:H683"/>
    <mergeCell ref="G1288:H1288"/>
    <mergeCell ref="E1500:F1500"/>
    <mergeCell ref="E1475:F1475"/>
    <mergeCell ref="E1458:F1458"/>
    <mergeCell ref="E1675:F1675"/>
    <mergeCell ref="E1969:F1969"/>
    <mergeCell ref="G1957:H1957"/>
    <mergeCell ref="E1936:F1936"/>
    <mergeCell ref="E1828:F1828"/>
    <mergeCell ref="A65:B65"/>
    <mergeCell ref="E830:F830"/>
    <mergeCell ref="A670:B670"/>
    <mergeCell ref="G2076:H2076"/>
    <mergeCell ref="E919:F919"/>
    <mergeCell ref="A365:B365"/>
    <mergeCell ref="G590:H590"/>
    <mergeCell ref="E1130:F1130"/>
    <mergeCell ref="G133:H133"/>
    <mergeCell ref="E825:F825"/>
    <mergeCell ref="G1913:H1913"/>
    <mergeCell ref="G2071:H2071"/>
    <mergeCell ref="E1430:F1430"/>
    <mergeCell ref="G433:H433"/>
    <mergeCell ref="E1588:F1588"/>
    <mergeCell ref="G591:H591"/>
    <mergeCell ref="A2051:B2051"/>
    <mergeCell ref="G217:H217"/>
    <mergeCell ref="A1746:B1746"/>
    <mergeCell ref="G891:H891"/>
    <mergeCell ref="A266:B266"/>
    <mergeCell ref="A260:B260"/>
    <mergeCell ref="E972:F972"/>
    <mergeCell ref="E1604:F1604"/>
    <mergeCell ref="E1272:F1272"/>
    <mergeCell ref="E1299:F1299"/>
    <mergeCell ref="E853:F853"/>
    <mergeCell ref="E1904:F1904"/>
    <mergeCell ref="E967:F967"/>
    <mergeCell ref="E1572:F1572"/>
    <mergeCell ref="E1599:F1599"/>
    <mergeCell ref="G602:H602"/>
    <mergeCell ref="E2088:F2088"/>
    <mergeCell ref="G1249:H1249"/>
    <mergeCell ref="E117:F117"/>
    <mergeCell ref="A1654:B1654"/>
    <mergeCell ref="E1783:F1783"/>
    <mergeCell ref="E303:F303"/>
    <mergeCell ref="G2006:H2006"/>
    <mergeCell ref="G1549:H1549"/>
    <mergeCell ref="E417:F417"/>
    <mergeCell ref="A1381:B1381"/>
    <mergeCell ref="E761:F761"/>
    <mergeCell ref="G1849:H1849"/>
    <mergeCell ref="A1681:B1681"/>
    <mergeCell ref="A1224:B1224"/>
    <mergeCell ref="A1839:B1839"/>
    <mergeCell ref="A1382:B1382"/>
    <mergeCell ref="A1376:B1376"/>
    <mergeCell ref="A1682:B1682"/>
    <mergeCell ref="A1676:B1676"/>
    <mergeCell ref="G1934:H1934"/>
    <mergeCell ref="E777:F777"/>
    <mergeCell ref="E472:F472"/>
    <mergeCell ref="G537:H537"/>
    <mergeCell ref="G238:H238"/>
    <mergeCell ref="G1929:H1929"/>
    <mergeCell ref="G232:H232"/>
    <mergeCell ref="E772:F772"/>
    <mergeCell ref="A1850:B1850"/>
    <mergeCell ref="A370:B370"/>
    <mergeCell ref="G532:H532"/>
    <mergeCell ref="G749:H749"/>
    <mergeCell ref="A434:B434"/>
    <mergeCell ref="A249:B249"/>
    <mergeCell ref="A854:B854"/>
    <mergeCell ref="A1012:B1012"/>
    <mergeCell ref="A555:B555"/>
    <mergeCell ref="A549:B549"/>
    <mergeCell ref="A1337:B1337"/>
    <mergeCell ref="A1312:B1312"/>
    <mergeCell ref="G1653:H1653"/>
    <mergeCell ref="A723:B723"/>
    <mergeCell ref="G1953:H1953"/>
    <mergeCell ref="A1328:B1328"/>
    <mergeCell ref="A1023:B1023"/>
    <mergeCell ref="G168:H168"/>
    <mergeCell ref="E733:F733"/>
    <mergeCell ref="G1821:H1821"/>
    <mergeCell ref="G1979:H1979"/>
    <mergeCell ref="A1234:B1234"/>
    <mergeCell ref="A1323:B1323"/>
    <mergeCell ref="G1365:H1365"/>
    <mergeCell ref="E1899:F1899"/>
    <mergeCell ref="G902:H902"/>
    <mergeCell ref="A734:B734"/>
    <mergeCell ref="A321:B321"/>
    <mergeCell ref="E869:F869"/>
    <mergeCell ref="G1576:H1576"/>
    <mergeCell ref="A1034:B1034"/>
    <mergeCell ref="A621:B621"/>
    <mergeCell ref="E1169:F1169"/>
    <mergeCell ref="G1876:H1876"/>
    <mergeCell ref="A735:B735"/>
    <mergeCell ref="A289:B289"/>
    <mergeCell ref="E1957:F1957"/>
    <mergeCell ref="A2084:B2084"/>
    <mergeCell ref="G1098:H1098"/>
    <mergeCell ref="A604:B604"/>
    <mergeCell ref="A631:B631"/>
    <mergeCell ref="A185:B185"/>
    <mergeCell ref="G526:H526"/>
    <mergeCell ref="G63:H63"/>
    <mergeCell ref="E1848:F1848"/>
    <mergeCell ref="G851:H851"/>
    <mergeCell ref="G826:H826"/>
    <mergeCell ref="E1391:F1391"/>
    <mergeCell ref="A201:B201"/>
    <mergeCell ref="G1151:H1151"/>
    <mergeCell ref="E1691:F1691"/>
    <mergeCell ref="G732:H732"/>
    <mergeCell ref="G1914:H1914"/>
    <mergeCell ref="A221:B221"/>
    <mergeCell ref="A196:B196"/>
    <mergeCell ref="G1451:H1451"/>
    <mergeCell ref="G1152:H1152"/>
    <mergeCell ref="A984:B984"/>
    <mergeCell ref="E1119:F1119"/>
    <mergeCell ref="E1838:F1838"/>
    <mergeCell ref="E1876:F1876"/>
    <mergeCell ref="G879:H879"/>
    <mergeCell ref="A1284:B1284"/>
    <mergeCell ref="E1419:F1419"/>
    <mergeCell ref="A254:B254"/>
    <mergeCell ref="E1533:F1533"/>
    <mergeCell ref="G1179:H1179"/>
    <mergeCell ref="A1584:B1584"/>
    <mergeCell ref="E1719:F1719"/>
    <mergeCell ref="G2098:H2098"/>
    <mergeCell ref="E1099:F1099"/>
    <mergeCell ref="G102:H102"/>
    <mergeCell ref="G1793:H1793"/>
    <mergeCell ref="A1168:B1168"/>
    <mergeCell ref="A1714:B1714"/>
    <mergeCell ref="A1800:B1800"/>
    <mergeCell ref="A1931:B1931"/>
    <mergeCell ref="A1468:B1468"/>
    <mergeCell ref="A1626:B1626"/>
    <mergeCell ref="A2100:B2100"/>
    <mergeCell ref="E721:F721"/>
    <mergeCell ref="E1326:F1326"/>
    <mergeCell ref="A1926:B1926"/>
    <mergeCell ref="E1021:F1021"/>
    <mergeCell ref="G24:H24"/>
    <mergeCell ref="E564:F564"/>
    <mergeCell ref="G787:H787"/>
    <mergeCell ref="E1321:F1321"/>
    <mergeCell ref="G324:H324"/>
    <mergeCell ref="G482:H482"/>
    <mergeCell ref="E1022:F1022"/>
    <mergeCell ref="A1942:B1942"/>
    <mergeCell ref="G782:H782"/>
    <mergeCell ref="E749:F749"/>
    <mergeCell ref="E705:F705"/>
    <mergeCell ref="A157:B157"/>
    <mergeCell ref="E863:F863"/>
    <mergeCell ref="E1049:F1049"/>
    <mergeCell ref="E617:F617"/>
    <mergeCell ref="A457:B457"/>
    <mergeCell ref="E1163:F1163"/>
    <mergeCell ref="E2082:F2082"/>
    <mergeCell ref="E1663:F1663"/>
    <mergeCell ref="G666:H666"/>
    <mergeCell ref="E1777:F1777"/>
    <mergeCell ref="A587:B587"/>
    <mergeCell ref="G1429:H1429"/>
    <mergeCell ref="G1412:H1412"/>
    <mergeCell ref="A1104:B1104"/>
    <mergeCell ref="E1679:F1679"/>
    <mergeCell ref="E1810:F1810"/>
    <mergeCell ref="E199:F199"/>
    <mergeCell ref="A799:B799"/>
    <mergeCell ref="G982:H982"/>
    <mergeCell ref="E2110:F2110"/>
    <mergeCell ref="G1140:H1140"/>
    <mergeCell ref="E499:F499"/>
    <mergeCell ref="G1745:H1745"/>
    <mergeCell ref="G1903:H1903"/>
    <mergeCell ref="G1440:H1440"/>
    <mergeCell ref="E1980:F1980"/>
    <mergeCell ref="E494:F494"/>
    <mergeCell ref="A1578:B1578"/>
    <mergeCell ref="G1740:H1740"/>
    <mergeCell ref="A1572:B1572"/>
    <mergeCell ref="A1115:B1115"/>
    <mergeCell ref="A1730:B1730"/>
    <mergeCell ref="E1821:F1821"/>
    <mergeCell ref="A1273:B1273"/>
    <mergeCell ref="A1573:B1573"/>
    <mergeCell ref="G1798:H1798"/>
    <mergeCell ref="E641:F641"/>
    <mergeCell ref="G1335:H1335"/>
    <mergeCell ref="G13:H13"/>
    <mergeCell ref="A418:B418"/>
    <mergeCell ref="A1480:B1480"/>
    <mergeCell ref="E1615:F1615"/>
    <mergeCell ref="G618:H618"/>
    <mergeCell ref="E1729:F1729"/>
    <mergeCell ref="E1310:F1310"/>
    <mergeCell ref="G313:H313"/>
    <mergeCell ref="G918:H918"/>
    <mergeCell ref="G1076:H1076"/>
    <mergeCell ref="G1032:H1032"/>
    <mergeCell ref="G1070:H1070"/>
    <mergeCell ref="E1610:F1610"/>
    <mergeCell ref="A451:B451"/>
    <mergeCell ref="G613:H613"/>
    <mergeCell ref="A445:B445"/>
    <mergeCell ref="G1401:H1401"/>
    <mergeCell ref="E994:F994"/>
    <mergeCell ref="A446:B446"/>
    <mergeCell ref="G1701:H1701"/>
    <mergeCell ref="G760:H760"/>
    <mergeCell ref="E194:F194"/>
    <mergeCell ref="E36:F36"/>
    <mergeCell ref="E336:F336"/>
    <mergeCell ref="G166:H166"/>
    <mergeCell ref="E706:F706"/>
    <mergeCell ref="A1670:B1670"/>
    <mergeCell ref="G798:H798"/>
    <mergeCell ref="G377:H377"/>
    <mergeCell ref="G352:H352"/>
    <mergeCell ref="E1463:F1463"/>
    <mergeCell ref="G466:H466"/>
    <mergeCell ref="A48:B48"/>
    <mergeCell ref="E297:F297"/>
    <mergeCell ref="G2059:H2059"/>
    <mergeCell ref="G362:H362"/>
    <mergeCell ref="E902:F902"/>
    <mergeCell ref="E1060:F1060"/>
    <mergeCell ref="E1576:F1576"/>
    <mergeCell ref="E597:F597"/>
    <mergeCell ref="G243:H243"/>
    <mergeCell ref="A37:B37"/>
    <mergeCell ref="E1571:F1571"/>
    <mergeCell ref="G574:H574"/>
    <mergeCell ref="A381:B381"/>
    <mergeCell ref="E655:F655"/>
    <mergeCell ref="E630:F630"/>
    <mergeCell ref="E955:F955"/>
    <mergeCell ref="E930:F930"/>
    <mergeCell ref="G1047:H1047"/>
    <mergeCell ref="E650:F650"/>
    <mergeCell ref="G715:H715"/>
    <mergeCell ref="E1255:F1255"/>
    <mergeCell ref="A92:B92"/>
    <mergeCell ref="G1347:H1347"/>
    <mergeCell ref="G890:H890"/>
    <mergeCell ref="G1048:H1048"/>
    <mergeCell ref="G1042:H1042"/>
    <mergeCell ref="E1713:F1713"/>
    <mergeCell ref="A417:B417"/>
    <mergeCell ref="G716:H716"/>
    <mergeCell ref="A548:B548"/>
    <mergeCell ref="A1180:B1180"/>
    <mergeCell ref="G1342:H1342"/>
    <mergeCell ref="A1517:B1517"/>
    <mergeCell ref="E460:F460"/>
    <mergeCell ref="E128:F128"/>
    <mergeCell ref="E155:F155"/>
    <mergeCell ref="G220:H220"/>
    <mergeCell ref="E760:F760"/>
    <mergeCell ref="A1838:B1838"/>
    <mergeCell ref="E428:F428"/>
    <mergeCell ref="E586:F586"/>
    <mergeCell ref="G520:H520"/>
    <mergeCell ref="A1533:B1533"/>
    <mergeCell ref="A53:B53"/>
    <mergeCell ref="G215:H215"/>
    <mergeCell ref="A1833:B1833"/>
    <mergeCell ref="A1964:B1964"/>
    <mergeCell ref="A2050:B2050"/>
    <mergeCell ref="A353:B353"/>
    <mergeCell ref="E602:F602"/>
    <mergeCell ref="A1718:B1718"/>
    <mergeCell ref="E596:F596"/>
    <mergeCell ref="A717:B717"/>
    <mergeCell ref="E1010:F1010"/>
    <mergeCell ref="E1782:F1782"/>
    <mergeCell ref="E1757:F1757"/>
    <mergeCell ref="G1887:H1887"/>
    <mergeCell ref="E2033:F2033"/>
    <mergeCell ref="A1970:B1970"/>
    <mergeCell ref="G167:H167"/>
    <mergeCell ref="G1299:H1299"/>
    <mergeCell ref="A554:B554"/>
    <mergeCell ref="E1833:F1833"/>
    <mergeCell ref="G1510:H1510"/>
    <mergeCell ref="G1304:H1304"/>
    <mergeCell ref="A706:B706"/>
    <mergeCell ref="A837:B837"/>
    <mergeCell ref="E2017:F2017"/>
    <mergeCell ref="A1006:B1006"/>
    <mergeCell ref="A1137:B1137"/>
    <mergeCell ref="A1794:B1794"/>
    <mergeCell ref="E232:F232"/>
    <mergeCell ref="E1929:F1929"/>
    <mergeCell ref="G1478:H1478"/>
    <mergeCell ref="G1689:H1689"/>
    <mergeCell ref="A2094:B2094"/>
    <mergeCell ref="E532:F532"/>
    <mergeCell ref="G1232:H1232"/>
    <mergeCell ref="E227:F227"/>
    <mergeCell ref="A1153:B1153"/>
    <mergeCell ref="G1995:H1995"/>
    <mergeCell ref="G1989:H1989"/>
    <mergeCell ref="E444:F444"/>
    <mergeCell ref="A1370:B1370"/>
    <mergeCell ref="G1532:H1532"/>
    <mergeCell ref="A848:B848"/>
    <mergeCell ref="A1364:B1364"/>
    <mergeCell ref="G1690:H1690"/>
    <mergeCell ref="G1646:H1646"/>
    <mergeCell ref="A1059:B1059"/>
    <mergeCell ref="A1148:B1148"/>
    <mergeCell ref="A1664:B1664"/>
    <mergeCell ref="G1990:H1990"/>
    <mergeCell ref="A1822:B1822"/>
    <mergeCell ref="A1365:B1365"/>
    <mergeCell ref="E2071:F2071"/>
    <mergeCell ref="A184:B184"/>
    <mergeCell ref="A342:B342"/>
    <mergeCell ref="G1597:H1597"/>
    <mergeCell ref="A336:B336"/>
    <mergeCell ref="A10:B10"/>
    <mergeCell ref="G1292:H1292"/>
    <mergeCell ref="A642:B642"/>
    <mergeCell ref="G1897:H1897"/>
    <mergeCell ref="A310:B310"/>
    <mergeCell ref="E885:F885"/>
    <mergeCell ref="G1592:H1592"/>
    <mergeCell ref="E1559:F1559"/>
    <mergeCell ref="G562:H562"/>
    <mergeCell ref="A967:B967"/>
    <mergeCell ref="E1859:F1859"/>
    <mergeCell ref="G862:H862"/>
    <mergeCell ref="A1267:B1267"/>
    <mergeCell ref="G976:H976"/>
    <mergeCell ref="E1516:F1516"/>
    <mergeCell ref="A326:B326"/>
    <mergeCell ref="G1162:H1162"/>
    <mergeCell ref="A21:B21"/>
    <mergeCell ref="E1860:F1860"/>
    <mergeCell ref="G1276:H1276"/>
    <mergeCell ref="G863:H863"/>
    <mergeCell ref="A695:B695"/>
    <mergeCell ref="G977:H977"/>
    <mergeCell ref="A1300:B1300"/>
    <mergeCell ref="A1414:B1414"/>
    <mergeCell ref="A995:B995"/>
    <mergeCell ref="E1244:F1244"/>
    <mergeCell ref="G873:H873"/>
    <mergeCell ref="E63:F63"/>
    <mergeCell ref="G770:H770"/>
    <mergeCell ref="G465:H465"/>
    <mergeCell ref="A1925:B1925"/>
    <mergeCell ref="A2083:B2083"/>
    <mergeCell ref="E1151:F1151"/>
    <mergeCell ref="A140:B140"/>
    <mergeCell ref="G1978:H1978"/>
    <mergeCell ref="E846:F846"/>
    <mergeCell ref="E389:F389"/>
    <mergeCell ref="G2092:H2092"/>
    <mergeCell ref="E1451:F1451"/>
    <mergeCell ref="E1609:F1609"/>
    <mergeCell ref="G612:H612"/>
    <mergeCell ref="G193:H193"/>
    <mergeCell ref="E1146:F1146"/>
    <mergeCell ref="G149:H149"/>
    <mergeCell ref="A1767:B1767"/>
    <mergeCell ref="G912:H912"/>
    <mergeCell ref="A287:B287"/>
    <mergeCell ref="G449:H449"/>
    <mergeCell ref="A281:B281"/>
    <mergeCell ref="E416:F416"/>
    <mergeCell ref="G607:H607"/>
    <mergeCell ref="A2067:B2067"/>
    <mergeCell ref="G209:H209"/>
    <mergeCell ref="E880:F880"/>
    <mergeCell ref="E874:F874"/>
    <mergeCell ref="A282:B282"/>
    <mergeCell ref="G509:H509"/>
    <mergeCell ref="G177:H177"/>
    <mergeCell ref="G204:H204"/>
    <mergeCell ref="E24:F24"/>
    <mergeCell ref="E1804:F1804"/>
    <mergeCell ref="A1256:B1256"/>
    <mergeCell ref="E1962:F1962"/>
    <mergeCell ref="G965:H965"/>
    <mergeCell ref="E324:F324"/>
    <mergeCell ref="E482:F482"/>
    <mergeCell ref="G1570:H1570"/>
    <mergeCell ref="E19:F19"/>
    <mergeCell ref="G1265:H1265"/>
    <mergeCell ref="E782:F782"/>
    <mergeCell ref="G1476:H1476"/>
    <mergeCell ref="E319:F319"/>
    <mergeCell ref="A1245:B1245"/>
    <mergeCell ref="G2022:H2022"/>
    <mergeCell ref="E477:F477"/>
    <mergeCell ref="A1403:B1403"/>
    <mergeCell ref="G1565:H1565"/>
    <mergeCell ref="A1397:B1397"/>
    <mergeCell ref="A940:B940"/>
    <mergeCell ref="A1614:B1614"/>
    <mergeCell ref="A1703:B1703"/>
    <mergeCell ref="A1398:B1398"/>
    <mergeCell ref="A1914:B1914"/>
    <mergeCell ref="E493:F493"/>
    <mergeCell ref="E47:F47"/>
    <mergeCell ref="A1698:B1698"/>
    <mergeCell ref="E704:F704"/>
    <mergeCell ref="G1950:H1950"/>
    <mergeCell ref="E793:F793"/>
    <mergeCell ref="G470:H470"/>
    <mergeCell ref="E1004:F1004"/>
    <mergeCell ref="G1128:H1128"/>
    <mergeCell ref="A571:B571"/>
    <mergeCell ref="E1662:F1662"/>
    <mergeCell ref="G1826:H1826"/>
    <mergeCell ref="E1793:F1793"/>
    <mergeCell ref="G823:H823"/>
    <mergeCell ref="E1488:F1488"/>
    <mergeCell ref="G1428:H1428"/>
    <mergeCell ref="E2093:F2093"/>
    <mergeCell ref="G1123:H1123"/>
    <mergeCell ref="G1254:H1254"/>
    <mergeCell ref="E1794:F1794"/>
    <mergeCell ref="G1728:H1728"/>
    <mergeCell ref="A1044:B1044"/>
    <mergeCell ref="G1859:H1859"/>
    <mergeCell ref="G1886:H1886"/>
    <mergeCell ref="A1261:B1261"/>
    <mergeCell ref="G1423:H1423"/>
    <mergeCell ref="A1255:B1255"/>
    <mergeCell ref="G1581:H1581"/>
    <mergeCell ref="A798:B798"/>
    <mergeCell ref="A1625:B1625"/>
    <mergeCell ref="G809:H809"/>
    <mergeCell ref="A641:B641"/>
    <mergeCell ref="E1505:F1505"/>
    <mergeCell ref="E1979:F1979"/>
    <mergeCell ref="E2007:F2007"/>
    <mergeCell ref="G1010:H1010"/>
    <mergeCell ref="E2001:F2001"/>
    <mergeCell ref="G1004:H1004"/>
    <mergeCell ref="E1544:F1544"/>
    <mergeCell ref="A1011:B1011"/>
    <mergeCell ref="G40:H40"/>
    <mergeCell ref="A1544:B1544"/>
    <mergeCell ref="E1254:F1254"/>
    <mergeCell ref="A1658:B1658"/>
    <mergeCell ref="A64:B64"/>
    <mergeCell ref="A178:B178"/>
    <mergeCell ref="E313:F313"/>
    <mergeCell ref="A1958:B1958"/>
    <mergeCell ref="E8:F8"/>
    <mergeCell ref="E1070:F1070"/>
    <mergeCell ref="A478:B478"/>
    <mergeCell ref="E613:F613"/>
    <mergeCell ref="G1884:H1884"/>
    <mergeCell ref="E727:F727"/>
    <mergeCell ref="E308:F308"/>
    <mergeCell ref="E1401:F1401"/>
    <mergeCell ref="A1991:B1991"/>
    <mergeCell ref="G68:H68"/>
    <mergeCell ref="E1701:F1701"/>
    <mergeCell ref="G704:H704"/>
    <mergeCell ref="E1396:F1396"/>
    <mergeCell ref="G399:H399"/>
    <mergeCell ref="A231:B231"/>
    <mergeCell ref="A206:B206"/>
    <mergeCell ref="G699:H699"/>
    <mergeCell ref="A506:B506"/>
    <mergeCell ref="E361:F361"/>
    <mergeCell ref="E1412:F1412"/>
    <mergeCell ref="E993:F993"/>
    <mergeCell ref="G1058:H1058"/>
    <mergeCell ref="E1107:F1107"/>
    <mergeCell ref="G759:H759"/>
    <mergeCell ref="E2054:F2054"/>
    <mergeCell ref="G1057:H1057"/>
    <mergeCell ref="E574:F574"/>
    <mergeCell ref="G1683:H1683"/>
    <mergeCell ref="G1820:H1820"/>
    <mergeCell ref="G1814:H1814"/>
    <mergeCell ref="A1189:B1189"/>
    <mergeCell ref="E569:F569"/>
    <mergeCell ref="A1489:B1489"/>
    <mergeCell ref="A1516:B1516"/>
    <mergeCell ref="G1815:H1815"/>
    <mergeCell ref="A1647:B1647"/>
    <mergeCell ref="E742:F742"/>
    <mergeCell ref="A1947:B1947"/>
    <mergeCell ref="E1042:F1042"/>
    <mergeCell ref="G45:H45"/>
    <mergeCell ref="E585:F585"/>
    <mergeCell ref="E737:F737"/>
    <mergeCell ref="E1342:F1342"/>
    <mergeCell ref="G345:H345"/>
    <mergeCell ref="E1043:F1043"/>
    <mergeCell ref="G46:H46"/>
    <mergeCell ref="A1963:B1963"/>
    <mergeCell ref="E1712:F1712"/>
    <mergeCell ref="G753:H753"/>
    <mergeCell ref="E1293:F1293"/>
    <mergeCell ref="A128:B128"/>
    <mergeCell ref="A674:B674"/>
    <mergeCell ref="A217:B217"/>
    <mergeCell ref="A891:B891"/>
    <mergeCell ref="E982:F982"/>
    <mergeCell ref="A428:B428"/>
    <mergeCell ref="E1826:F1826"/>
    <mergeCell ref="E215:F215"/>
    <mergeCell ref="E373:F373"/>
    <mergeCell ref="G1461:H1461"/>
    <mergeCell ref="G1678:H1678"/>
    <mergeCell ref="G1672:H1672"/>
    <mergeCell ref="A531:B531"/>
    <mergeCell ref="E673:F673"/>
    <mergeCell ref="A1593:B1593"/>
    <mergeCell ref="A1136:B1136"/>
    <mergeCell ref="E1842:F1842"/>
    <mergeCell ref="A1294:B1294"/>
    <mergeCell ref="G1972:H1972"/>
    <mergeCell ref="A831:B831"/>
    <mergeCell ref="G1673:H1673"/>
    <mergeCell ref="A1505:B1505"/>
    <mergeCell ref="E57:F57"/>
    <mergeCell ref="A1594:B1594"/>
    <mergeCell ref="E268:F268"/>
    <mergeCell ref="E243:F243"/>
    <mergeCell ref="A1805:B1805"/>
    <mergeCell ref="A586:B586"/>
    <mergeCell ref="E677:F677"/>
    <mergeCell ref="A129:B129"/>
    <mergeCell ref="E835:F835"/>
    <mergeCell ref="A1191:B1191"/>
    <mergeCell ref="E1440:F1440"/>
    <mergeCell ref="G443:H443"/>
    <mergeCell ref="A886:B886"/>
    <mergeCell ref="E1135:F1135"/>
    <mergeCell ref="G138:H138"/>
    <mergeCell ref="G1200:H1200"/>
    <mergeCell ref="G34:H34"/>
    <mergeCell ref="E568:F568"/>
    <mergeCell ref="E1331:F1331"/>
    <mergeCell ref="G334:H334"/>
    <mergeCell ref="E1542:F1542"/>
    <mergeCell ref="G1091:H1091"/>
    <mergeCell ref="E1656:F1656"/>
    <mergeCell ref="E1631:F1631"/>
    <mergeCell ref="G634:H634"/>
    <mergeCell ref="A466:B466"/>
    <mergeCell ref="G1308:H1308"/>
    <mergeCell ref="A9:B9"/>
    <mergeCell ref="A167:B167"/>
    <mergeCell ref="G1422:H1422"/>
    <mergeCell ref="G1003:H1003"/>
    <mergeCell ref="E1956:F1956"/>
    <mergeCell ref="A924:B924"/>
    <mergeCell ref="A467:B467"/>
    <mergeCell ref="G1722:H1722"/>
    <mergeCell ref="A461:B461"/>
    <mergeCell ref="E1226:F1226"/>
    <mergeCell ref="A678:B678"/>
    <mergeCell ref="A792:B792"/>
    <mergeCell ref="E927:F927"/>
    <mergeCell ref="A978:B978"/>
    <mergeCell ref="E1690:F1690"/>
    <mergeCell ref="G556:H556"/>
    <mergeCell ref="E1684:F1684"/>
    <mergeCell ref="G687:H687"/>
    <mergeCell ref="A1092:B1092"/>
    <mergeCell ref="E1227:F1227"/>
    <mergeCell ref="G1450:H1450"/>
    <mergeCell ref="G2075:H2075"/>
    <mergeCell ref="A1882:B1882"/>
    <mergeCell ref="E1592:F1592"/>
    <mergeCell ref="G595:H595"/>
    <mergeCell ref="A2093:B2093"/>
    <mergeCell ref="E1287:F1287"/>
    <mergeCell ref="G290:H290"/>
    <mergeCell ref="A122:B122"/>
    <mergeCell ref="A97:B97"/>
    <mergeCell ref="A1750:B1750"/>
    <mergeCell ref="E976:F976"/>
    <mergeCell ref="E557:F557"/>
    <mergeCell ref="E1162:F1162"/>
    <mergeCell ref="E1276:F1276"/>
    <mergeCell ref="E857:F857"/>
    <mergeCell ref="E1908:F1908"/>
    <mergeCell ref="A1478:B1478"/>
    <mergeCell ref="G623:H623"/>
    <mergeCell ref="G606:H606"/>
    <mergeCell ref="G160:H160"/>
    <mergeCell ref="A1778:B1778"/>
    <mergeCell ref="E873:F873"/>
    <mergeCell ref="A456:B456"/>
    <mergeCell ref="E1031:F1031"/>
    <mergeCell ref="G987:H987"/>
    <mergeCell ref="E1527:F1527"/>
    <mergeCell ref="G1145:H1145"/>
    <mergeCell ref="E1685:F1685"/>
    <mergeCell ref="A389:B389"/>
    <mergeCell ref="G688:H688"/>
    <mergeCell ref="A1125:B1125"/>
    <mergeCell ref="E1700:F1700"/>
    <mergeCell ref="E1945:F1945"/>
    <mergeCell ref="G948:H948"/>
    <mergeCell ref="A755:B755"/>
    <mergeCell ref="G2010:H2010"/>
    <mergeCell ref="E465:F465"/>
    <mergeCell ref="G1553:H1553"/>
    <mergeCell ref="G1711:H1711"/>
    <mergeCell ref="A1086:B1086"/>
    <mergeCell ref="G1248:H1248"/>
    <mergeCell ref="G1922:H1922"/>
    <mergeCell ref="G2011:H2011"/>
    <mergeCell ref="A1843:B1843"/>
    <mergeCell ref="A1386:B1386"/>
    <mergeCell ref="A1380:B1380"/>
    <mergeCell ref="E2092:F2092"/>
    <mergeCell ref="A1538:B1538"/>
    <mergeCell ref="A1081:B1081"/>
    <mergeCell ref="E475:F475"/>
    <mergeCell ref="E781:F781"/>
    <mergeCell ref="E2087:F2087"/>
    <mergeCell ref="G1633:H1633"/>
    <mergeCell ref="E476:F476"/>
    <mergeCell ref="E607:F607"/>
    <mergeCell ref="G1933:H1933"/>
    <mergeCell ref="E776:F776"/>
    <mergeCell ref="G2064:H2064"/>
    <mergeCell ref="G2080:H2080"/>
    <mergeCell ref="E529:F529"/>
    <mergeCell ref="E504:F504"/>
    <mergeCell ref="A1582:B1582"/>
    <mergeCell ref="E1292:F1292"/>
    <mergeCell ref="E829:F829"/>
    <mergeCell ref="A31:B31"/>
    <mergeCell ref="A58:B58"/>
    <mergeCell ref="E1853:F1853"/>
    <mergeCell ref="G856:H856"/>
    <mergeCell ref="E823:F823"/>
    <mergeCell ref="A663:B663"/>
    <mergeCell ref="E1521:F1521"/>
    <mergeCell ref="A2028:B2028"/>
    <mergeCell ref="E1123:F1123"/>
    <mergeCell ref="E660:F660"/>
    <mergeCell ref="E818:F818"/>
    <mergeCell ref="E1880:F1880"/>
    <mergeCell ref="G883:H883"/>
    <mergeCell ref="E1423:F1423"/>
    <mergeCell ref="G426:H426"/>
    <mergeCell ref="G1041:H1041"/>
    <mergeCell ref="E1581:F1581"/>
    <mergeCell ref="E1118:F1118"/>
    <mergeCell ref="G121:H121"/>
    <mergeCell ref="A42:B42"/>
    <mergeCell ref="E1881:F1881"/>
    <mergeCell ref="G884:H884"/>
    <mergeCell ref="A716:B716"/>
    <mergeCell ref="G878:H878"/>
    <mergeCell ref="A259:B259"/>
    <mergeCell ref="A253:B253"/>
    <mergeCell ref="A411:B411"/>
    <mergeCell ref="A1016:B1016"/>
    <mergeCell ref="E1265:F1265"/>
    <mergeCell ref="A711:B711"/>
    <mergeCell ref="E1476:F1476"/>
    <mergeCell ref="E2022:F2022"/>
    <mergeCell ref="A2104:B2104"/>
    <mergeCell ref="G786:H786"/>
    <mergeCell ref="E753:F753"/>
    <mergeCell ref="G1999:H1999"/>
    <mergeCell ref="E404:F404"/>
    <mergeCell ref="G56:H56"/>
    <mergeCell ref="G214:H214"/>
    <mergeCell ref="E754:F754"/>
    <mergeCell ref="G1842:H1842"/>
    <mergeCell ref="G1867:H1867"/>
    <mergeCell ref="E710:F710"/>
    <mergeCell ref="A1674:B1674"/>
    <mergeCell ref="A1832:B1832"/>
    <mergeCell ref="A1369:B1369"/>
    <mergeCell ref="E138:F138"/>
    <mergeCell ref="A1675:B1675"/>
    <mergeCell ref="A1669:B1669"/>
    <mergeCell ref="A189:B189"/>
    <mergeCell ref="E895:F895"/>
    <mergeCell ref="A2000:B2000"/>
    <mergeCell ref="E438:F438"/>
    <mergeCell ref="G225:H225"/>
    <mergeCell ref="E738:F738"/>
    <mergeCell ref="E1526:F1526"/>
    <mergeCell ref="G525:H525"/>
    <mergeCell ref="A2027:B2027"/>
    <mergeCell ref="A357:B357"/>
    <mergeCell ref="E1221:F1221"/>
    <mergeCell ref="G1025:H1025"/>
    <mergeCell ref="G1052:H1052"/>
    <mergeCell ref="E1565:F1565"/>
    <mergeCell ref="E1776:F1776"/>
    <mergeCell ref="E2037:F2037"/>
    <mergeCell ref="E340:F340"/>
    <mergeCell ref="G1040:H1040"/>
    <mergeCell ref="G1586:H1586"/>
    <mergeCell ref="A961:B961"/>
    <mergeCell ref="G1803:H1803"/>
    <mergeCell ref="A542:B542"/>
    <mergeCell ref="G1797:H1797"/>
    <mergeCell ref="A656:B656"/>
    <mergeCell ref="G1498:H1498"/>
    <mergeCell ref="A1330:B1330"/>
    <mergeCell ref="A1630:B1630"/>
    <mergeCell ref="E68:F68"/>
    <mergeCell ref="E725:F725"/>
    <mergeCell ref="G1971:H1971"/>
    <mergeCell ref="A1930:B1930"/>
    <mergeCell ref="E1025:F1025"/>
    <mergeCell ref="G186:H186"/>
    <mergeCell ref="E726:F726"/>
    <mergeCell ref="G791:H791"/>
    <mergeCell ref="G1966:H1966"/>
    <mergeCell ref="A1358:B1358"/>
    <mergeCell ref="A1341:B1341"/>
    <mergeCell ref="G486:H486"/>
    <mergeCell ref="G806:H806"/>
    <mergeCell ref="G1352:H1352"/>
    <mergeCell ref="A727:B727"/>
    <mergeCell ref="G1542:H1542"/>
    <mergeCell ref="G1237:H1237"/>
    <mergeCell ref="A1027:B1027"/>
    <mergeCell ref="A1158:B1158"/>
    <mergeCell ref="E1950:F1950"/>
    <mergeCell ref="G1901:H1901"/>
    <mergeCell ref="G1444:H1444"/>
    <mergeCell ref="A1276:B1276"/>
    <mergeCell ref="G1602:H1602"/>
    <mergeCell ref="A819:B819"/>
    <mergeCell ref="A977:B977"/>
    <mergeCell ref="G1902:H1902"/>
    <mergeCell ref="A1734:B1734"/>
    <mergeCell ref="G872:H872"/>
    <mergeCell ref="A1277:B1277"/>
    <mergeCell ref="A1271:B1271"/>
    <mergeCell ref="A1408:B1408"/>
    <mergeCell ref="G986:H986"/>
    <mergeCell ref="G1172:H1172"/>
    <mergeCell ref="E1737:F1737"/>
    <mergeCell ref="E40:F40"/>
    <mergeCell ref="A1577:B1577"/>
    <mergeCell ref="G1286:H1286"/>
    <mergeCell ref="A242:B242"/>
    <mergeCell ref="G1497:H1497"/>
    <mergeCell ref="A1790:B1790"/>
    <mergeCell ref="E1487:F1487"/>
    <mergeCell ref="G1253:H1253"/>
    <mergeCell ref="E149:F149"/>
    <mergeCell ref="E176:F176"/>
    <mergeCell ref="E144:F144"/>
    <mergeCell ref="E204:F204"/>
    <mergeCell ref="A820:B820"/>
    <mergeCell ref="G1161:H1161"/>
    <mergeCell ref="A1120:B1120"/>
    <mergeCell ref="E1695:F1695"/>
    <mergeCell ref="G698:H698"/>
    <mergeCell ref="G1222:H1222"/>
    <mergeCell ref="E1787:F1787"/>
    <mergeCell ref="A172:B172"/>
    <mergeCell ref="A292:B292"/>
    <mergeCell ref="A286:B286"/>
    <mergeCell ref="A503:B503"/>
    <mergeCell ref="A592:B592"/>
    <mergeCell ref="E1683:F1683"/>
    <mergeCell ref="A1266:B1266"/>
    <mergeCell ref="G844:H844"/>
    <mergeCell ref="A803:B803"/>
    <mergeCell ref="E1509:F1509"/>
    <mergeCell ref="G1144:H1144"/>
    <mergeCell ref="G1275:H1275"/>
    <mergeCell ref="E1815:F1815"/>
    <mergeCell ref="E1809:F1809"/>
    <mergeCell ref="G839:H839"/>
    <mergeCell ref="E198:F198"/>
    <mergeCell ref="E1740:F1740"/>
    <mergeCell ref="G743:H743"/>
    <mergeCell ref="G895:H895"/>
    <mergeCell ref="E1435:F1435"/>
    <mergeCell ref="A276:B276"/>
    <mergeCell ref="G438:H438"/>
    <mergeCell ref="A270:B270"/>
    <mergeCell ref="A576:B576"/>
    <mergeCell ref="A570:B570"/>
    <mergeCell ref="A271:B271"/>
    <mergeCell ref="G1526:H1526"/>
    <mergeCell ref="E1493:F1493"/>
    <mergeCell ref="A1333:B1333"/>
    <mergeCell ref="E1582:F1582"/>
    <mergeCell ref="G17:H17"/>
    <mergeCell ref="A422:B422"/>
    <mergeCell ref="E1145:F1145"/>
    <mergeCell ref="E688:F688"/>
    <mergeCell ref="E1619:F1619"/>
    <mergeCell ref="E682:F682"/>
    <mergeCell ref="G622:H622"/>
    <mergeCell ref="E709:F709"/>
    <mergeCell ref="G774:H774"/>
    <mergeCell ref="E1314:F1314"/>
    <mergeCell ref="G317:H317"/>
    <mergeCell ref="A149:B149"/>
    <mergeCell ref="E1015:F1015"/>
    <mergeCell ref="E2102:F2102"/>
    <mergeCell ref="A449:B449"/>
    <mergeCell ref="G775:H775"/>
    <mergeCell ref="A607:B607"/>
    <mergeCell ref="E698:F698"/>
    <mergeCell ref="A150:B150"/>
    <mergeCell ref="A144:B144"/>
    <mergeCell ref="E856:F856"/>
    <mergeCell ref="G1075:H1075"/>
    <mergeCell ref="A907:B907"/>
    <mergeCell ref="A450:B450"/>
    <mergeCell ref="E1156:F1156"/>
    <mergeCell ref="E1672:F1672"/>
    <mergeCell ref="G159:H159"/>
    <mergeCell ref="E693:F693"/>
    <mergeCell ref="E1367:F1367"/>
    <mergeCell ref="G370:H370"/>
    <mergeCell ref="E1456:F1456"/>
    <mergeCell ref="E1972:F1972"/>
    <mergeCell ref="E2103:F2103"/>
    <mergeCell ref="E606:F606"/>
    <mergeCell ref="A52:B52"/>
    <mergeCell ref="E187:F187"/>
    <mergeCell ref="G1433:H1433"/>
    <mergeCell ref="E301:F301"/>
    <mergeCell ref="A352:B352"/>
    <mergeCell ref="E487:F487"/>
    <mergeCell ref="G1758:H1758"/>
    <mergeCell ref="G1733:H1733"/>
    <mergeCell ref="E601:F601"/>
    <mergeCell ref="A1565:B1565"/>
    <mergeCell ref="E1275:F1275"/>
    <mergeCell ref="E29:F29"/>
    <mergeCell ref="A80:B80"/>
    <mergeCell ref="E354:F354"/>
    <mergeCell ref="E329:F329"/>
    <mergeCell ref="E1003:F1003"/>
    <mergeCell ref="G95:H95"/>
    <mergeCell ref="G1786:H1786"/>
    <mergeCell ref="G89:H89"/>
    <mergeCell ref="E654:F654"/>
    <mergeCell ref="E629:F629"/>
    <mergeCell ref="G1900:H1900"/>
    <mergeCell ref="G306:H306"/>
    <mergeCell ref="G420:H420"/>
    <mergeCell ref="A1924:B1924"/>
    <mergeCell ref="G2086:H2086"/>
    <mergeCell ref="A2038:B2038"/>
    <mergeCell ref="E556:F556"/>
    <mergeCell ref="G720:H720"/>
    <mergeCell ref="E714:F714"/>
    <mergeCell ref="E148:F148"/>
    <mergeCell ref="G1851:H1851"/>
    <mergeCell ref="A738:B738"/>
    <mergeCell ref="E448:F448"/>
    <mergeCell ref="A852:B852"/>
    <mergeCell ref="G1694:H1694"/>
    <mergeCell ref="A1526:B1526"/>
    <mergeCell ref="G1688:H1688"/>
    <mergeCell ref="A1069:B1069"/>
    <mergeCell ref="E1775:F1775"/>
    <mergeCell ref="A1221:B1221"/>
    <mergeCell ref="E289:F289"/>
    <mergeCell ref="A1826:B1826"/>
    <mergeCell ref="E2075:F2075"/>
    <mergeCell ref="A1521:B1521"/>
    <mergeCell ref="E1612:F1612"/>
    <mergeCell ref="E1770:F1770"/>
    <mergeCell ref="G1835:H1835"/>
    <mergeCell ref="E290:F290"/>
    <mergeCell ref="G1536:H1536"/>
    <mergeCell ref="E590:F590"/>
    <mergeCell ref="A1537:B1537"/>
    <mergeCell ref="G1836:H1836"/>
    <mergeCell ref="G2047:H2047"/>
    <mergeCell ref="A1837:B1837"/>
    <mergeCell ref="E382:F382"/>
    <mergeCell ref="A1919:B1919"/>
    <mergeCell ref="E987:F987"/>
    <mergeCell ref="E1014:F1014"/>
    <mergeCell ref="G459:H459"/>
    <mergeCell ref="A291:B291"/>
    <mergeCell ref="G1133:H1133"/>
    <mergeCell ref="A2115:B2115"/>
    <mergeCell ref="E578:F578"/>
    <mergeCell ref="E121:F121"/>
    <mergeCell ref="E878:F878"/>
    <mergeCell ref="E421:F421"/>
    <mergeCell ref="G39:H39"/>
    <mergeCell ref="E579:F579"/>
    <mergeCell ref="E573:F573"/>
    <mergeCell ref="A1499:B1499"/>
    <mergeCell ref="G339:H339"/>
    <mergeCell ref="A1799:B1799"/>
    <mergeCell ref="A1494:B1494"/>
    <mergeCell ref="A14:B14"/>
    <mergeCell ref="E589:F589"/>
    <mergeCell ref="E501:F501"/>
    <mergeCell ref="E1563:F1563"/>
    <mergeCell ref="G50:H50"/>
    <mergeCell ref="G566:H566"/>
    <mergeCell ref="G350:H350"/>
    <mergeCell ref="G866:H866"/>
    <mergeCell ref="E890:F890"/>
    <mergeCell ref="E1406:F1406"/>
    <mergeCell ref="G1024:H1024"/>
    <mergeCell ref="E1564:F1564"/>
    <mergeCell ref="G567:H567"/>
    <mergeCell ref="A399:B399"/>
    <mergeCell ref="G561:H561"/>
    <mergeCell ref="A488:B488"/>
    <mergeCell ref="A25:B25"/>
    <mergeCell ref="A699:B699"/>
    <mergeCell ref="E948:F948"/>
    <mergeCell ref="A394:B394"/>
    <mergeCell ref="G2085:H2085"/>
    <mergeCell ref="G1780:H1780"/>
    <mergeCell ref="G169:H169"/>
    <mergeCell ref="G1955:H1955"/>
    <mergeCell ref="A1787:B1787"/>
    <mergeCell ref="G469:H469"/>
    <mergeCell ref="E436:F436"/>
    <mergeCell ref="G1682:H1682"/>
    <mergeCell ref="E550:F550"/>
    <mergeCell ref="E525:F525"/>
    <mergeCell ref="A2087:B2087"/>
    <mergeCell ref="E736:F736"/>
    <mergeCell ref="G1982:H1982"/>
    <mergeCell ref="E850:F850"/>
    <mergeCell ref="A302:B302"/>
    <mergeCell ref="E431:F431"/>
    <mergeCell ref="G616:H616"/>
    <mergeCell ref="G197:H197"/>
    <mergeCell ref="A1657:B1657"/>
    <mergeCell ref="G1983:H1983"/>
    <mergeCell ref="A1815:B1815"/>
    <mergeCell ref="A1771:B1771"/>
    <mergeCell ref="A1352:B1352"/>
    <mergeCell ref="A1510:B1510"/>
    <mergeCell ref="E643:F643"/>
    <mergeCell ref="A999:B999"/>
    <mergeCell ref="E1705:F1705"/>
    <mergeCell ref="G708:H708"/>
    <mergeCell ref="E1248:F1248"/>
    <mergeCell ref="E943:F943"/>
    <mergeCell ref="G1008:H1008"/>
    <mergeCell ref="E1548:F1548"/>
    <mergeCell ref="E23:F23"/>
    <mergeCell ref="A987:B987"/>
    <mergeCell ref="E181:F181"/>
    <mergeCell ref="G1269:H1269"/>
    <mergeCell ref="G1943:H1943"/>
    <mergeCell ref="G1918:H1918"/>
    <mergeCell ref="E1967:F1967"/>
    <mergeCell ref="G2032:H2032"/>
    <mergeCell ref="E481:F481"/>
    <mergeCell ref="A1407:B1407"/>
    <mergeCell ref="A988:B988"/>
    <mergeCell ref="A944:B944"/>
    <mergeCell ref="A1102:B1102"/>
    <mergeCell ref="A1288:B1288"/>
    <mergeCell ref="G997:H997"/>
    <mergeCell ref="E1562:F1562"/>
    <mergeCell ref="A1402:B1402"/>
    <mergeCell ref="E1537:F1537"/>
    <mergeCell ref="G1654:H1654"/>
    <mergeCell ref="G1297:H1297"/>
    <mergeCell ref="E1837:F1837"/>
    <mergeCell ref="G1954:H1954"/>
    <mergeCell ref="E120:F120"/>
    <mergeCell ref="G1166:H1166"/>
    <mergeCell ref="E1706:F1706"/>
    <mergeCell ref="G709:H709"/>
    <mergeCell ref="A541:B541"/>
    <mergeCell ref="G703:H703"/>
    <mergeCell ref="G920:H920"/>
    <mergeCell ref="A710:B710"/>
    <mergeCell ref="A841:B841"/>
    <mergeCell ref="E1633:F1633"/>
    <mergeCell ref="E981:F981"/>
    <mergeCell ref="E1497:F1497"/>
    <mergeCell ref="G170:H170"/>
    <mergeCell ref="E1281:F1281"/>
    <mergeCell ref="E1797:F1797"/>
    <mergeCell ref="G827:H827"/>
    <mergeCell ref="G958:H958"/>
    <mergeCell ref="E1498:F1498"/>
    <mergeCell ref="E1492:F1492"/>
    <mergeCell ref="G1127:H1127"/>
    <mergeCell ref="G1258:H1258"/>
    <mergeCell ref="G953:H953"/>
    <mergeCell ref="E1508:F1508"/>
    <mergeCell ref="A960:B960"/>
    <mergeCell ref="A1260:B1260"/>
    <mergeCell ref="E1966:F1966"/>
    <mergeCell ref="G969:H969"/>
    <mergeCell ref="E486:F486"/>
    <mergeCell ref="G1574:H1574"/>
    <mergeCell ref="A536:B536"/>
    <mergeCell ref="A1141:B1141"/>
    <mergeCell ref="E1933:F1933"/>
    <mergeCell ref="E236:F236"/>
    <mergeCell ref="A836:B836"/>
    <mergeCell ref="E1628:F1628"/>
    <mergeCell ref="G631:H631"/>
    <mergeCell ref="A438:B438"/>
    <mergeCell ref="G1693:H1693"/>
    <mergeCell ref="E1717:F1717"/>
    <mergeCell ref="E1673:F1673"/>
    <mergeCell ref="E1667:F1667"/>
    <mergeCell ref="G670:H670"/>
    <mergeCell ref="G246:H246"/>
    <mergeCell ref="E365:F365"/>
    <mergeCell ref="G463:H463"/>
    <mergeCell ref="E454:F454"/>
    <mergeCell ref="G131:H131"/>
    <mergeCell ref="E665:F665"/>
    <mergeCell ref="G763:H763"/>
    <mergeCell ref="G300:H300"/>
    <mergeCell ref="G431:H431"/>
    <mergeCell ref="G458:H458"/>
    <mergeCell ref="G126:H126"/>
    <mergeCell ref="A2076:B2076"/>
    <mergeCell ref="A2043:B2043"/>
    <mergeCell ref="G758:H758"/>
    <mergeCell ref="A133:B133"/>
    <mergeCell ref="A264:B264"/>
    <mergeCell ref="E839:F839"/>
    <mergeCell ref="E1444:F1444"/>
    <mergeCell ref="G447:H447"/>
    <mergeCell ref="E1139:F1139"/>
    <mergeCell ref="G142:H142"/>
    <mergeCell ref="G816:H816"/>
    <mergeCell ref="E1350:F1350"/>
    <mergeCell ref="E1902:F1902"/>
    <mergeCell ref="G905:H905"/>
    <mergeCell ref="G899:H899"/>
    <mergeCell ref="E1439:F1439"/>
    <mergeCell ref="A280:B280"/>
    <mergeCell ref="G442:H442"/>
    <mergeCell ref="A274:B274"/>
    <mergeCell ref="G600:H600"/>
    <mergeCell ref="G1116:H1116"/>
    <mergeCell ref="E2086:F2086"/>
    <mergeCell ref="A1951:B1951"/>
    <mergeCell ref="G1247:H1247"/>
    <mergeCell ref="E1781:F1781"/>
    <mergeCell ref="E747:F747"/>
    <mergeCell ref="G1416:H1416"/>
    <mergeCell ref="E284:F284"/>
    <mergeCell ref="A1248:B1248"/>
    <mergeCell ref="G1547:H1547"/>
    <mergeCell ref="A1554:B1554"/>
    <mergeCell ref="A1548:B1548"/>
    <mergeCell ref="G1847:H1847"/>
    <mergeCell ref="A1249:B1249"/>
    <mergeCell ref="A68:B68"/>
    <mergeCell ref="E317:F317"/>
    <mergeCell ref="E12:F12"/>
    <mergeCell ref="A1549:B1549"/>
    <mergeCell ref="E775:F775"/>
    <mergeCell ref="G1863:H1863"/>
    <mergeCell ref="E312:F312"/>
    <mergeCell ref="G1583:H1583"/>
    <mergeCell ref="A1390:B1390"/>
    <mergeCell ref="E1100:F1100"/>
    <mergeCell ref="A1696:B1696"/>
    <mergeCell ref="E1400:F1400"/>
    <mergeCell ref="E370:F370"/>
    <mergeCell ref="A210:B210"/>
    <mergeCell ref="A1901:B1901"/>
    <mergeCell ref="G1616:H1616"/>
    <mergeCell ref="A2021:B2021"/>
    <mergeCell ref="A1602:B1602"/>
    <mergeCell ref="E154:F154"/>
    <mergeCell ref="A535:B535"/>
    <mergeCell ref="G1377:H1377"/>
    <mergeCell ref="A1298:B1298"/>
    <mergeCell ref="E1433:F1433"/>
    <mergeCell ref="G1677:H1677"/>
    <mergeCell ref="E1758:F1758"/>
    <mergeCell ref="A1598:B1598"/>
    <mergeCell ref="E1733:F1733"/>
    <mergeCell ref="E1453:F1453"/>
    <mergeCell ref="A263:B263"/>
    <mergeCell ref="G1518:H1518"/>
    <mergeCell ref="E2058:F2058"/>
    <mergeCell ref="G1824:H1824"/>
    <mergeCell ref="A563:B563"/>
    <mergeCell ref="G1818:H1818"/>
    <mergeCell ref="E273:F273"/>
    <mergeCell ref="G1519:H1519"/>
    <mergeCell ref="A1351:B1351"/>
    <mergeCell ref="G1513:H1513"/>
    <mergeCell ref="A894:B894"/>
    <mergeCell ref="G1819:H1819"/>
    <mergeCell ref="A1651:B1651"/>
    <mergeCell ref="A1194:B1194"/>
    <mergeCell ref="A1346:B1346"/>
    <mergeCell ref="E1481:F1481"/>
    <mergeCell ref="G1546:H1546"/>
    <mergeCell ref="E670:F670"/>
    <mergeCell ref="A432:B432"/>
    <mergeCell ref="G811:H811"/>
    <mergeCell ref="G900:H900"/>
    <mergeCell ref="A732:B732"/>
    <mergeCell ref="A275:B275"/>
    <mergeCell ref="G2107:H2107"/>
    <mergeCell ref="G22:H22"/>
    <mergeCell ref="E562:F562"/>
    <mergeCell ref="G1650:H1650"/>
    <mergeCell ref="A1482:B1482"/>
    <mergeCell ref="A1640:B1640"/>
    <mergeCell ref="A1177:B1177"/>
    <mergeCell ref="E403:F403"/>
    <mergeCell ref="A1940:B1940"/>
    <mergeCell ref="E1035:F1035"/>
    <mergeCell ref="G38:H38"/>
    <mergeCell ref="E703:F703"/>
    <mergeCell ref="E730:F730"/>
    <mergeCell ref="E1335:F1335"/>
    <mergeCell ref="G338:H338"/>
    <mergeCell ref="G496:H496"/>
    <mergeCell ref="E1036:F1036"/>
    <mergeCell ref="E1030:F1030"/>
    <mergeCell ref="G33:H33"/>
    <mergeCell ref="G707:H707"/>
    <mergeCell ref="G796:H796"/>
    <mergeCell ref="A171:B171"/>
    <mergeCell ref="G333:H333"/>
    <mergeCell ref="A165:B165"/>
    <mergeCell ref="E1547:F1547"/>
    <mergeCell ref="G550:H550"/>
    <mergeCell ref="G1096:H1096"/>
    <mergeCell ref="E631:F631"/>
    <mergeCell ref="A471:B471"/>
    <mergeCell ref="A77:B77"/>
    <mergeCell ref="A166:B166"/>
    <mergeCell ref="E1388:F1388"/>
    <mergeCell ref="G2079:H2079"/>
    <mergeCell ref="E534:F534"/>
    <mergeCell ref="A1498:B1498"/>
    <mergeCell ref="A1587:B1587"/>
    <mergeCell ref="A1124:B1124"/>
    <mergeCell ref="G294:H294"/>
    <mergeCell ref="E261:F261"/>
    <mergeCell ref="A101:B101"/>
    <mergeCell ref="G1349:H1349"/>
    <mergeCell ref="A1798:B1798"/>
    <mergeCell ref="A1912:B1912"/>
    <mergeCell ref="E350:F350"/>
    <mergeCell ref="E567:F567"/>
    <mergeCell ref="E561:F561"/>
    <mergeCell ref="A2098:B2098"/>
    <mergeCell ref="G1813:H1813"/>
    <mergeCell ref="E681:F681"/>
    <mergeCell ref="G1807:H1807"/>
    <mergeCell ref="E256:F256"/>
    <mergeCell ref="A1182:B1182"/>
    <mergeCell ref="G391:H391"/>
    <mergeCell ref="E931:F931"/>
    <mergeCell ref="G480:H480"/>
    <mergeCell ref="E1694:F1694"/>
    <mergeCell ref="G697:H697"/>
    <mergeCell ref="E1688:F1688"/>
    <mergeCell ref="G691:H691"/>
    <mergeCell ref="E1231:F1231"/>
    <mergeCell ref="G849:H849"/>
    <mergeCell ref="E1389:F1389"/>
    <mergeCell ref="G392:H392"/>
    <mergeCell ref="E1383:F1383"/>
    <mergeCell ref="E1977:F1977"/>
    <mergeCell ref="A1429:B1429"/>
    <mergeCell ref="G980:H980"/>
    <mergeCell ref="E480:F480"/>
    <mergeCell ref="G1768:H1768"/>
    <mergeCell ref="G1743:H1743"/>
    <mergeCell ref="A50:B50"/>
    <mergeCell ref="A813:B813"/>
    <mergeCell ref="G2068:H2068"/>
    <mergeCell ref="G1763:H1763"/>
    <mergeCell ref="A1138:B1138"/>
    <mergeCell ref="A1113:B1113"/>
    <mergeCell ref="E208:F208"/>
    <mergeCell ref="G1779:H1779"/>
    <mergeCell ref="G1754:H1754"/>
    <mergeCell ref="E203:F203"/>
    <mergeCell ref="E2031:F2031"/>
    <mergeCell ref="G1965:H1965"/>
    <mergeCell ref="G386:H386"/>
    <mergeCell ref="E1689:F1689"/>
    <mergeCell ref="G692:H692"/>
    <mergeCell ref="A524:B524"/>
    <mergeCell ref="A499:B499"/>
    <mergeCell ref="A219:B219"/>
    <mergeCell ref="A824:B824"/>
    <mergeCell ref="E1530:F1530"/>
    <mergeCell ref="G1165:H1165"/>
    <mergeCell ref="E1830:F1830"/>
    <mergeCell ref="G860:H860"/>
    <mergeCell ref="E1531:F1531"/>
    <mergeCell ref="E2047:F2047"/>
    <mergeCell ref="A998:B998"/>
    <mergeCell ref="G2057:H2057"/>
    <mergeCell ref="G360:H360"/>
    <mergeCell ref="G114:H114"/>
    <mergeCell ref="A1732:B1732"/>
    <mergeCell ref="A35:B35"/>
    <mergeCell ref="A62:B62"/>
    <mergeCell ref="E827:F827"/>
    <mergeCell ref="A1427:B1427"/>
    <mergeCell ref="A1842:B1842"/>
    <mergeCell ref="A2032:B2032"/>
    <mergeCell ref="E522:F522"/>
    <mergeCell ref="A362:B362"/>
    <mergeCell ref="A2059:B2059"/>
    <mergeCell ref="E1127:F1127"/>
    <mergeCell ref="A30:B30"/>
    <mergeCell ref="E1285:F1285"/>
    <mergeCell ref="E822:F822"/>
    <mergeCell ref="E911:F911"/>
    <mergeCell ref="E1585:F1585"/>
    <mergeCell ref="G588:H588"/>
    <mergeCell ref="G582:H582"/>
    <mergeCell ref="E1122:F1122"/>
    <mergeCell ref="G125:H125"/>
    <mergeCell ref="G740:H740"/>
    <mergeCell ref="E1280:F1280"/>
    <mergeCell ref="G283:H283"/>
    <mergeCell ref="A720:B720"/>
    <mergeCell ref="E1580:F1580"/>
    <mergeCell ref="G583:H583"/>
    <mergeCell ref="A415:B415"/>
    <mergeCell ref="E664:F664"/>
    <mergeCell ref="A1020:B1020"/>
    <mergeCell ref="G2003:H2003"/>
    <mergeCell ref="E458:F458"/>
    <mergeCell ref="E452:F452"/>
    <mergeCell ref="G1704:H1704"/>
    <mergeCell ref="G218:H218"/>
    <mergeCell ref="G2004:H2004"/>
    <mergeCell ref="G1998:H1998"/>
    <mergeCell ref="E453:F453"/>
    <mergeCell ref="A1373:B1373"/>
    <mergeCell ref="A1531:B1531"/>
    <mergeCell ref="A2047:B2047"/>
    <mergeCell ref="A51:B51"/>
    <mergeCell ref="E142:F142"/>
    <mergeCell ref="A1831:B1831"/>
    <mergeCell ref="A1374:B1374"/>
    <mergeCell ref="E442:F442"/>
    <mergeCell ref="E600:F600"/>
    <mergeCell ref="E594:F594"/>
    <mergeCell ref="E137:F137"/>
    <mergeCell ref="E811:F811"/>
    <mergeCell ref="G1899:H1899"/>
    <mergeCell ref="G229:H229"/>
    <mergeCell ref="E1269:F1269"/>
    <mergeCell ref="A715:B715"/>
    <mergeCell ref="E964:F964"/>
    <mergeCell ref="E1175:F1175"/>
    <mergeCell ref="E1727:F1727"/>
    <mergeCell ref="G730:H730"/>
    <mergeCell ref="E1264:F1264"/>
    <mergeCell ref="A143:B143"/>
    <mergeCell ref="G941:H941"/>
    <mergeCell ref="A731:B731"/>
    <mergeCell ref="G1960:H1960"/>
    <mergeCell ref="A1304:B1304"/>
    <mergeCell ref="G1975:H1975"/>
    <mergeCell ref="A931:B931"/>
    <mergeCell ref="G1230:H1230"/>
    <mergeCell ref="E98:F98"/>
    <mergeCell ref="A1062:B1062"/>
    <mergeCell ref="A1151:B1151"/>
    <mergeCell ref="A1231:B1231"/>
    <mergeCell ref="G1530:H1530"/>
    <mergeCell ref="E398:F398"/>
    <mergeCell ref="A899:B899"/>
    <mergeCell ref="A1451:B1451"/>
    <mergeCell ref="A1363:B1363"/>
    <mergeCell ref="E1938:F1938"/>
    <mergeCell ref="E757:F757"/>
    <mergeCell ref="E300:F300"/>
    <mergeCell ref="G636:H636"/>
    <mergeCell ref="G1241:H1241"/>
    <mergeCell ref="A1074:B1074"/>
    <mergeCell ref="E1649:F1649"/>
    <mergeCell ref="G652:H652"/>
    <mergeCell ref="G627:H627"/>
    <mergeCell ref="E1780:F1780"/>
    <mergeCell ref="G1415:H1415"/>
    <mergeCell ref="E1949:F1949"/>
    <mergeCell ref="G952:H952"/>
    <mergeCell ref="G1715:H1715"/>
    <mergeCell ref="A454:B454"/>
    <mergeCell ref="G1709:H1709"/>
    <mergeCell ref="G1296:H1296"/>
    <mergeCell ref="E164:F164"/>
    <mergeCell ref="G1906:H1906"/>
    <mergeCell ref="E1873:F1873"/>
    <mergeCell ref="A1281:B1281"/>
    <mergeCell ref="E1111:F1111"/>
    <mergeCell ref="E44:F44"/>
    <mergeCell ref="A551:B551"/>
    <mergeCell ref="G877:H877"/>
    <mergeCell ref="G871:H871"/>
    <mergeCell ref="G414:H414"/>
    <mergeCell ref="A246:B246"/>
    <mergeCell ref="G1659:H1659"/>
    <mergeCell ref="G1202:H1202"/>
    <mergeCell ref="A1009:B1009"/>
    <mergeCell ref="A704:B704"/>
    <mergeCell ref="A247:B247"/>
    <mergeCell ref="G1502:H1502"/>
    <mergeCell ref="A1309:B1309"/>
    <mergeCell ref="E1558:F1558"/>
    <mergeCell ref="A1004:B1004"/>
    <mergeCell ref="G1252:H1252"/>
    <mergeCell ref="G1410:H1410"/>
    <mergeCell ref="A785:B785"/>
    <mergeCell ref="A1847:B1847"/>
    <mergeCell ref="G1596:H1596"/>
    <mergeCell ref="G1710:H1710"/>
    <mergeCell ref="E1677:F1677"/>
    <mergeCell ref="G680:H680"/>
    <mergeCell ref="A1085:B1085"/>
    <mergeCell ref="E180:F180"/>
    <mergeCell ref="G1160:H1160"/>
    <mergeCell ref="A552:B552"/>
    <mergeCell ref="E1831:F1831"/>
    <mergeCell ref="G10:H10"/>
    <mergeCell ref="E28:F28"/>
    <mergeCell ref="G1796:H1796"/>
    <mergeCell ref="G1790:H1790"/>
    <mergeCell ref="E245:F245"/>
    <mergeCell ref="G1948:H1948"/>
    <mergeCell ref="G1491:H1491"/>
    <mergeCell ref="G310:H310"/>
    <mergeCell ref="A3:K3"/>
    <mergeCell ref="A1928:B1928"/>
    <mergeCell ref="G1791:H1791"/>
    <mergeCell ref="A1623:B1623"/>
    <mergeCell ref="E255:F255"/>
    <mergeCell ref="E392:F392"/>
    <mergeCell ref="E386:F386"/>
    <mergeCell ref="A1923:B1923"/>
    <mergeCell ref="G478:H478"/>
    <mergeCell ref="G21:H21"/>
    <mergeCell ref="E686:F686"/>
    <mergeCell ref="E387:F387"/>
    <mergeCell ref="G452:H452"/>
    <mergeCell ref="G479:H479"/>
    <mergeCell ref="G147:H147"/>
    <mergeCell ref="G174:H174"/>
    <mergeCell ref="G779:H779"/>
    <mergeCell ref="A611:B611"/>
    <mergeCell ref="A154:B154"/>
    <mergeCell ref="A285:B285"/>
    <mergeCell ref="E860:F860"/>
    <mergeCell ref="A306:B306"/>
    <mergeCell ref="E397:F397"/>
    <mergeCell ref="E1046:F1046"/>
    <mergeCell ref="E2107:F2107"/>
    <mergeCell ref="A1096:B1096"/>
    <mergeCell ref="E1808:F1808"/>
    <mergeCell ref="E1802:F1802"/>
    <mergeCell ref="A1254:B1254"/>
    <mergeCell ref="E191:F191"/>
    <mergeCell ref="G1437:H1437"/>
    <mergeCell ref="A1269:B1269"/>
    <mergeCell ref="G1568:H1568"/>
    <mergeCell ref="G1868:H1868"/>
    <mergeCell ref="A1270:B1270"/>
    <mergeCell ref="A1264:B1264"/>
    <mergeCell ref="A1401:B1401"/>
    <mergeCell ref="A965:B965"/>
    <mergeCell ref="E33:F33"/>
    <mergeCell ref="A1570:B1570"/>
    <mergeCell ref="G1490:H1490"/>
    <mergeCell ref="E333:F333"/>
    <mergeCell ref="G1579:H1579"/>
    <mergeCell ref="G1959:H1959"/>
    <mergeCell ref="A2097:B2097"/>
    <mergeCell ref="A1976:B1976"/>
    <mergeCell ref="A2092:B2092"/>
    <mergeCell ref="E1160:F1160"/>
    <mergeCell ref="G163:H163"/>
    <mergeCell ref="E1377:F1377"/>
    <mergeCell ref="A1362:B1362"/>
    <mergeCell ref="A295:B295"/>
    <mergeCell ref="G44:H44"/>
    <mergeCell ref="G1137:H1137"/>
    <mergeCell ref="G158:H158"/>
    <mergeCell ref="A1662:B1662"/>
    <mergeCell ref="E2079:F2079"/>
    <mergeCell ref="A1525:B1525"/>
    <mergeCell ref="E1660:F1660"/>
    <mergeCell ref="G1240:H1240"/>
    <mergeCell ref="E1774:F1774"/>
    <mergeCell ref="G777:H777"/>
    <mergeCell ref="A584:B584"/>
    <mergeCell ref="G1426:H1426"/>
    <mergeCell ref="E294:F294"/>
    <mergeCell ref="G1540:H1540"/>
    <mergeCell ref="A279:B279"/>
    <mergeCell ref="A795:B795"/>
    <mergeCell ref="G1121:H1121"/>
    <mergeCell ref="E2074:F2074"/>
    <mergeCell ref="G1077:H1077"/>
    <mergeCell ref="A496:B496"/>
    <mergeCell ref="G1726:H1726"/>
    <mergeCell ref="G1840:H1840"/>
    <mergeCell ref="G1421:H1421"/>
    <mergeCell ref="A796:B796"/>
    <mergeCell ref="E1502:F1502"/>
    <mergeCell ref="A910:B910"/>
    <mergeCell ref="G832:H832"/>
    <mergeCell ref="E1372:F1372"/>
    <mergeCell ref="G375:H375"/>
    <mergeCell ref="A296:B296"/>
    <mergeCell ref="E731:F731"/>
    <mergeCell ref="G848:H848"/>
    <mergeCell ref="E1519:F1519"/>
    <mergeCell ref="E1513:F1513"/>
    <mergeCell ref="G1148:H1148"/>
    <mergeCell ref="A681:B681"/>
    <mergeCell ref="A142:B142"/>
    <mergeCell ref="G441:H441"/>
    <mergeCell ref="G435:H435"/>
    <mergeCell ref="E975:F975"/>
    <mergeCell ref="E1632:F1632"/>
    <mergeCell ref="G610:H610"/>
    <mergeCell ref="E1763:F1763"/>
    <mergeCell ref="A442:B442"/>
    <mergeCell ref="G741:H741"/>
    <mergeCell ref="G1855:H1855"/>
    <mergeCell ref="G1398:H1398"/>
    <mergeCell ref="A137:B137"/>
    <mergeCell ref="G1392:H1392"/>
    <mergeCell ref="A268:B268"/>
    <mergeCell ref="G1093:H1093"/>
    <mergeCell ref="A443:B443"/>
    <mergeCell ref="G1698:H1698"/>
    <mergeCell ref="E1779:F1779"/>
    <mergeCell ref="A1225:B1225"/>
    <mergeCell ref="A1200:B1200"/>
    <mergeCell ref="E1360:F1360"/>
    <mergeCell ref="E1474:F1474"/>
    <mergeCell ref="A182:B182"/>
    <mergeCell ref="G191:H191"/>
    <mergeCell ref="A177:B177"/>
    <mergeCell ref="G843:H843"/>
    <mergeCell ref="G974:H974"/>
    <mergeCell ref="E1514:F1514"/>
    <mergeCell ref="G1606:H1606"/>
    <mergeCell ref="E1529:F1529"/>
    <mergeCell ref="A981:B981"/>
    <mergeCell ref="A676:B676"/>
    <mergeCell ref="A18:B18"/>
    <mergeCell ref="A1956:B1956"/>
    <mergeCell ref="E505:F505"/>
    <mergeCell ref="E1057:F1057"/>
    <mergeCell ref="E636:F636"/>
    <mergeCell ref="A1558:B1558"/>
    <mergeCell ref="G728:H728"/>
    <mergeCell ref="E1241:F1241"/>
    <mergeCell ref="E1268:F1268"/>
    <mergeCell ref="G271:H271"/>
    <mergeCell ref="G265:H265"/>
    <mergeCell ref="G2051:H2051"/>
    <mergeCell ref="G1028:H1028"/>
    <mergeCell ref="E1568:F1568"/>
    <mergeCell ref="G571:H571"/>
    <mergeCell ref="G565:H565"/>
    <mergeCell ref="E652:F652"/>
    <mergeCell ref="A98:B98"/>
    <mergeCell ref="A73:B73"/>
    <mergeCell ref="E347:F347"/>
    <mergeCell ref="A1884:B1884"/>
    <mergeCell ref="A861:B861"/>
    <mergeCell ref="E952:F952"/>
    <mergeCell ref="A398:B398"/>
    <mergeCell ref="E647:F647"/>
    <mergeCell ref="E1709:F1709"/>
    <mergeCell ref="G712:H712"/>
    <mergeCell ref="E1252:F1252"/>
    <mergeCell ref="E1410:F1410"/>
    <mergeCell ref="G413:H413"/>
    <mergeCell ref="E1404:F1404"/>
    <mergeCell ref="G407:H407"/>
    <mergeCell ref="G1828:H1828"/>
    <mergeCell ref="E283:F283"/>
    <mergeCell ref="E277:F277"/>
    <mergeCell ref="A1814:B1814"/>
    <mergeCell ref="E2063:F2063"/>
    <mergeCell ref="G43:H43"/>
    <mergeCell ref="E583:F583"/>
    <mergeCell ref="E577:F577"/>
    <mergeCell ref="A1503:B1503"/>
    <mergeCell ref="G1829:H1829"/>
    <mergeCell ref="G1823:H1823"/>
    <mergeCell ref="E278:F278"/>
    <mergeCell ref="A1198:B1198"/>
    <mergeCell ref="G2040:H2040"/>
    <mergeCell ref="A1872:B1872"/>
    <mergeCell ref="A1961:B1961"/>
    <mergeCell ref="A1656:B1656"/>
    <mergeCell ref="A1199:B1199"/>
    <mergeCell ref="E947:F947"/>
    <mergeCell ref="E1105:F1105"/>
    <mergeCell ref="E1710:F1710"/>
    <mergeCell ref="G713:H713"/>
    <mergeCell ref="A545:B545"/>
    <mergeCell ref="A126:B126"/>
    <mergeCell ref="E1405:F1405"/>
    <mergeCell ref="A109:B109"/>
    <mergeCell ref="G408:H408"/>
    <mergeCell ref="A240:B240"/>
    <mergeCell ref="E375:F375"/>
    <mergeCell ref="A2026:B2026"/>
    <mergeCell ref="A845:B845"/>
    <mergeCell ref="E675:F675"/>
    <mergeCell ref="E1998:F1998"/>
    <mergeCell ref="A1450:B1450"/>
    <mergeCell ref="G1001:H1001"/>
    <mergeCell ref="E1541:F1541"/>
    <mergeCell ref="A376:B376"/>
    <mergeCell ref="G702:H702"/>
    <mergeCell ref="G696:H696"/>
    <mergeCell ref="A71:B71"/>
    <mergeCell ref="E2024:F2024"/>
    <mergeCell ref="A834:B834"/>
    <mergeCell ref="G2089:H2089"/>
    <mergeCell ref="A371:B371"/>
    <mergeCell ref="A529:B529"/>
    <mergeCell ref="A1134:B1134"/>
    <mergeCell ref="A829:B829"/>
    <mergeCell ref="G1686:H1686"/>
    <mergeCell ref="E141:F141"/>
    <mergeCell ref="E135:F135"/>
    <mergeCell ref="E1921:F1921"/>
    <mergeCell ref="E224:F224"/>
    <mergeCell ref="E2052:F2052"/>
    <mergeCell ref="E441:F441"/>
    <mergeCell ref="E435:F435"/>
    <mergeCell ref="G1687:H1687"/>
    <mergeCell ref="A1519:B1519"/>
    <mergeCell ref="G1681:H1681"/>
    <mergeCell ref="A1056:B1056"/>
    <mergeCell ref="G1382:H1382"/>
    <mergeCell ref="A1819:B1819"/>
    <mergeCell ref="A1514:B1514"/>
    <mergeCell ref="E582:F582"/>
    <mergeCell ref="E125:F125"/>
    <mergeCell ref="A2108:B2108"/>
    <mergeCell ref="G815:H815"/>
    <mergeCell ref="E871:F871"/>
    <mergeCell ref="A323:B323"/>
    <mergeCell ref="E109:F109"/>
    <mergeCell ref="E1202:F1202"/>
    <mergeCell ref="A1792:B1792"/>
    <mergeCell ref="G962:H962"/>
    <mergeCell ref="E1496:F1496"/>
    <mergeCell ref="G657:H657"/>
    <mergeCell ref="E1197:F1197"/>
    <mergeCell ref="A7:B7"/>
    <mergeCell ref="G1262:H1262"/>
    <mergeCell ref="G957:H957"/>
    <mergeCell ref="A1095:B1095"/>
    <mergeCell ref="E1670:F1670"/>
    <mergeCell ref="A790:B790"/>
    <mergeCell ref="E925:F925"/>
    <mergeCell ref="G859:H859"/>
    <mergeCell ref="G1017:H1017"/>
    <mergeCell ref="E1970:F1970"/>
    <mergeCell ref="G973:H973"/>
    <mergeCell ref="A392:B392"/>
    <mergeCell ref="G554:H554"/>
    <mergeCell ref="E1671:F1671"/>
    <mergeCell ref="E1225:F1225"/>
    <mergeCell ref="A475:B475"/>
    <mergeCell ref="G1317:H1317"/>
    <mergeCell ref="A692:B692"/>
    <mergeCell ref="G854:H854"/>
    <mergeCell ref="E1525:F1525"/>
    <mergeCell ref="A387:B387"/>
    <mergeCell ref="E16:F16"/>
    <mergeCell ref="E174:F174"/>
    <mergeCell ref="G1936:H1936"/>
    <mergeCell ref="G1473:H1473"/>
    <mergeCell ref="G2025:H2025"/>
    <mergeCell ref="E474:F474"/>
    <mergeCell ref="A1394:B1394"/>
    <mergeCell ref="G1773:H1773"/>
    <mergeCell ref="G1931:H1931"/>
    <mergeCell ref="A1306:B1306"/>
    <mergeCell ref="A1395:B1395"/>
    <mergeCell ref="A2069:B2069"/>
    <mergeCell ref="E69:F69"/>
    <mergeCell ref="A1606:B1606"/>
    <mergeCell ref="E158:F158"/>
    <mergeCell ref="E832:F832"/>
    <mergeCell ref="G1920:H1920"/>
    <mergeCell ref="E369:F369"/>
    <mergeCell ref="E527:F527"/>
    <mergeCell ref="G1615:H1615"/>
    <mergeCell ref="A2064:B2064"/>
    <mergeCell ref="E485:F485"/>
    <mergeCell ref="G135:H135"/>
    <mergeCell ref="A1753:B1753"/>
    <mergeCell ref="A1448:B1448"/>
    <mergeCell ref="A2053:B2053"/>
    <mergeCell ref="E543:F543"/>
    <mergeCell ref="A1748:B1748"/>
    <mergeCell ref="E843:F843"/>
    <mergeCell ref="A2048:B2048"/>
    <mergeCell ref="E538:F538"/>
    <mergeCell ref="G603:H603"/>
    <mergeCell ref="E2106:F2106"/>
    <mergeCell ref="A425:B425"/>
    <mergeCell ref="G1223:H1223"/>
    <mergeCell ref="E1801:F1801"/>
    <mergeCell ref="G804:H804"/>
    <mergeCell ref="A725:B725"/>
    <mergeCell ref="G1523:H1523"/>
    <mergeCell ref="A262:B262"/>
    <mergeCell ref="G1104:H1104"/>
    <mergeCell ref="A1025:B1025"/>
    <mergeCell ref="A593:B593"/>
    <mergeCell ref="E1790:F1790"/>
    <mergeCell ref="E1948:F1948"/>
    <mergeCell ref="A1356:B1356"/>
    <mergeCell ref="E1491:F1491"/>
    <mergeCell ref="E1485:F1485"/>
    <mergeCell ref="G1251:H1251"/>
    <mergeCell ref="E1785:F1785"/>
    <mergeCell ref="G946:H946"/>
    <mergeCell ref="A1252:B1252"/>
    <mergeCell ref="G1551:H1551"/>
    <mergeCell ref="G1246:H1246"/>
    <mergeCell ref="A1253:B1253"/>
    <mergeCell ref="A1384:B1384"/>
    <mergeCell ref="E1959:F1959"/>
    <mergeCell ref="E473:F473"/>
    <mergeCell ref="G2078:H2078"/>
    <mergeCell ref="G2073:H2073"/>
    <mergeCell ref="A2080:B2080"/>
    <mergeCell ref="E1143:F1143"/>
    <mergeCell ref="E1301:F1301"/>
    <mergeCell ref="G304:H304"/>
    <mergeCell ref="G96:H96"/>
    <mergeCell ref="A1683:B1683"/>
    <mergeCell ref="G853:H853"/>
    <mergeCell ref="E1393:F1393"/>
    <mergeCell ref="G396:H396"/>
    <mergeCell ref="G390:H390"/>
    <mergeCell ref="G548:H548"/>
    <mergeCell ref="A2008:B2008"/>
    <mergeCell ref="E1851:F1851"/>
    <mergeCell ref="A223:B223"/>
    <mergeCell ref="A198:B198"/>
    <mergeCell ref="G1604:H1604"/>
    <mergeCell ref="E1121:F1121"/>
    <mergeCell ref="G124:H124"/>
    <mergeCell ref="G1904:H1904"/>
    <mergeCell ref="E1446:F1446"/>
    <mergeCell ref="E1421:F1421"/>
    <mergeCell ref="A125:B125"/>
    <mergeCell ref="G424:H424"/>
    <mergeCell ref="G119:H119"/>
    <mergeCell ref="A257:B257"/>
    <mergeCell ref="E1132:F1132"/>
    <mergeCell ref="E1895:F1895"/>
    <mergeCell ref="G892:H892"/>
    <mergeCell ref="E1457:F1457"/>
    <mergeCell ref="E1432:F1432"/>
    <mergeCell ref="A267:B267"/>
    <mergeCell ref="G190:H190"/>
    <mergeCell ref="G146:H146"/>
    <mergeCell ref="A1808:B1808"/>
    <mergeCell ref="G515:H515"/>
    <mergeCell ref="G490:H490"/>
    <mergeCell ref="G26:H26"/>
    <mergeCell ref="G1812:H1812"/>
    <mergeCell ref="A1644:B1644"/>
    <mergeCell ref="A1181:B1181"/>
    <mergeCell ref="A1339:B1339"/>
    <mergeCell ref="E2104:F2104"/>
    <mergeCell ref="E407:F407"/>
    <mergeCell ref="A1944:B1944"/>
    <mergeCell ref="A2102:B2102"/>
    <mergeCell ref="E1039:F1039"/>
    <mergeCell ref="A1639:B1639"/>
    <mergeCell ref="G42:H42"/>
    <mergeCell ref="E734:F734"/>
    <mergeCell ref="E408:F408"/>
    <mergeCell ref="E402:F402"/>
    <mergeCell ref="G500:H500"/>
    <mergeCell ref="E103:F103"/>
    <mergeCell ref="E619:F619"/>
    <mergeCell ref="E1034:F1034"/>
    <mergeCell ref="G37:H37"/>
    <mergeCell ref="A1541:B1541"/>
    <mergeCell ref="G1865:H1865"/>
    <mergeCell ref="A1672:B1672"/>
    <mergeCell ref="E735:F735"/>
    <mergeCell ref="A1236:B1236"/>
    <mergeCell ref="A175:B175"/>
    <mergeCell ref="A1997:B1997"/>
    <mergeCell ref="A1972:B1972"/>
    <mergeCell ref="E762:F762"/>
    <mergeCell ref="E330:F330"/>
    <mergeCell ref="A170:B170"/>
    <mergeCell ref="E305:F305"/>
    <mergeCell ref="A54:B54"/>
    <mergeCell ref="A606:B606"/>
    <mergeCell ref="A212:B212"/>
    <mergeCell ref="G1467:H1467"/>
    <mergeCell ref="G1442:H1442"/>
    <mergeCell ref="A817:B817"/>
    <mergeCell ref="E1523:F1523"/>
    <mergeCell ref="A512:B512"/>
    <mergeCell ref="A1117:B1117"/>
    <mergeCell ref="E1823:F1823"/>
    <mergeCell ref="A1275:B1275"/>
    <mergeCell ref="E2040:F2040"/>
    <mergeCell ref="G1458:H1458"/>
    <mergeCell ref="E1735:F1735"/>
    <mergeCell ref="G1153:H1153"/>
    <mergeCell ref="G1370:H1370"/>
    <mergeCell ref="A1202:B1202"/>
    <mergeCell ref="G1364:H1364"/>
    <mergeCell ref="E2035:F2035"/>
    <mergeCell ref="A1291:B1291"/>
    <mergeCell ref="G1670:H1670"/>
    <mergeCell ref="A986:B986"/>
    <mergeCell ref="A1502:B1502"/>
    <mergeCell ref="A1591:B1591"/>
    <mergeCell ref="A1197:B1197"/>
    <mergeCell ref="A1286:B1286"/>
    <mergeCell ref="A1802:B1802"/>
    <mergeCell ref="G1511:H1511"/>
    <mergeCell ref="E1746:F1746"/>
    <mergeCell ref="A1586:B1586"/>
    <mergeCell ref="A556:B556"/>
    <mergeCell ref="G1811:H1811"/>
    <mergeCell ref="G15:H15"/>
    <mergeCell ref="E968:F968"/>
    <mergeCell ref="E555:F555"/>
    <mergeCell ref="E549:F549"/>
    <mergeCell ref="A1633:B1633"/>
    <mergeCell ref="E1337:F1337"/>
    <mergeCell ref="E1312:F1312"/>
    <mergeCell ref="G315:H315"/>
    <mergeCell ref="A147:B147"/>
    <mergeCell ref="E396:F396"/>
    <mergeCell ref="A1933:B1933"/>
    <mergeCell ref="A1470:B1470"/>
    <mergeCell ref="G640:H640"/>
    <mergeCell ref="G615:H615"/>
    <mergeCell ref="E696:F696"/>
    <mergeCell ref="A148:B148"/>
    <mergeCell ref="E1784:F1784"/>
    <mergeCell ref="G783:H783"/>
    <mergeCell ref="G326:H326"/>
    <mergeCell ref="G1419:H1419"/>
    <mergeCell ref="A158:B158"/>
    <mergeCell ref="E1654:F1654"/>
    <mergeCell ref="A464:B464"/>
    <mergeCell ref="G1719:H1719"/>
    <mergeCell ref="A159:B159"/>
    <mergeCell ref="E1381:F1381"/>
    <mergeCell ref="G384:H384"/>
    <mergeCell ref="A459:B459"/>
    <mergeCell ref="E1681:F1681"/>
    <mergeCell ref="G684:H684"/>
    <mergeCell ref="E1224:F1224"/>
    <mergeCell ref="E1839:F1839"/>
    <mergeCell ref="A119:B119"/>
    <mergeCell ref="A94:B94"/>
    <mergeCell ref="E254:F254"/>
    <mergeCell ref="A1922:B1922"/>
    <mergeCell ref="A1486:B1486"/>
    <mergeCell ref="E1584:F1584"/>
    <mergeCell ref="G587:H587"/>
    <mergeCell ref="A419:B419"/>
    <mergeCell ref="E554:F554"/>
    <mergeCell ref="G1800:H1800"/>
    <mergeCell ref="E668:F668"/>
    <mergeCell ref="E249:F249"/>
    <mergeCell ref="G314:H314"/>
    <mergeCell ref="A719:B719"/>
    <mergeCell ref="E854:F854"/>
    <mergeCell ref="E1012:F1012"/>
    <mergeCell ref="G2100:H2100"/>
    <mergeCell ref="G842:H842"/>
    <mergeCell ref="E1382:F1382"/>
    <mergeCell ref="E1376:F1376"/>
    <mergeCell ref="G379:H379"/>
    <mergeCell ref="G1142:H1142"/>
    <mergeCell ref="E1682:F1682"/>
    <mergeCell ref="G685:H685"/>
    <mergeCell ref="A517:B517"/>
    <mergeCell ref="G679:H679"/>
    <mergeCell ref="E2051:F2051"/>
    <mergeCell ref="E266:F266"/>
    <mergeCell ref="E260:F260"/>
    <mergeCell ref="G1969:H1969"/>
    <mergeCell ref="G1512:H1512"/>
    <mergeCell ref="A1344:B1344"/>
    <mergeCell ref="E2084:F2084"/>
    <mergeCell ref="A1536:B1536"/>
    <mergeCell ref="A2052:B2052"/>
    <mergeCell ref="G1761:H1761"/>
    <mergeCell ref="E604:F604"/>
    <mergeCell ref="E185:F185"/>
    <mergeCell ref="G1298:H1298"/>
    <mergeCell ref="G1850:H1850"/>
    <mergeCell ref="E299:F299"/>
    <mergeCell ref="G1387:H1387"/>
    <mergeCell ref="A1219:B1219"/>
    <mergeCell ref="A806:B806"/>
    <mergeCell ref="G2061:H2061"/>
    <mergeCell ref="G1598:H1598"/>
    <mergeCell ref="G1756:H1756"/>
    <mergeCell ref="E599:F599"/>
    <mergeCell ref="A1131:B1131"/>
    <mergeCell ref="A1106:B1106"/>
    <mergeCell ref="A1220:B1220"/>
    <mergeCell ref="E201:F201"/>
    <mergeCell ref="A1431:B1431"/>
    <mergeCell ref="A1520:B1520"/>
    <mergeCell ref="E657:F657"/>
    <mergeCell ref="E1289:F1289"/>
    <mergeCell ref="A1889:B1889"/>
    <mergeCell ref="E1283:F1283"/>
    <mergeCell ref="E957:F957"/>
    <mergeCell ref="E984:F984"/>
    <mergeCell ref="E1589:F1589"/>
    <mergeCell ref="G592:H592"/>
    <mergeCell ref="E1284:F1284"/>
    <mergeCell ref="G287:H287"/>
    <mergeCell ref="E156:F156"/>
    <mergeCell ref="E1942:F1942"/>
    <mergeCell ref="E2073:F2073"/>
    <mergeCell ref="E462:F462"/>
    <mergeCell ref="G1708:H1708"/>
    <mergeCell ref="G1702:H1702"/>
    <mergeCell ref="E157:F157"/>
    <mergeCell ref="G1245:H1245"/>
    <mergeCell ref="A1077:B1077"/>
    <mergeCell ref="G1403:H1403"/>
    <mergeCell ref="G222:H222"/>
    <mergeCell ref="G1614:H1614"/>
    <mergeCell ref="E457:F457"/>
    <mergeCell ref="G1703:H1703"/>
    <mergeCell ref="A1535:B1535"/>
    <mergeCell ref="A1078:B1078"/>
    <mergeCell ref="E146:F146"/>
    <mergeCell ref="E298:F298"/>
    <mergeCell ref="A1835:B1835"/>
    <mergeCell ref="G1506:H1506"/>
    <mergeCell ref="A881:B881"/>
    <mergeCell ref="E1550:F1550"/>
    <mergeCell ref="G553:H553"/>
    <mergeCell ref="E1093:F1093"/>
    <mergeCell ref="A2042:B2042"/>
    <mergeCell ref="A2036:B2036"/>
    <mergeCell ref="G604:H604"/>
    <mergeCell ref="G1642:H1642"/>
    <mergeCell ref="G1617:H1617"/>
    <mergeCell ref="A992:B992"/>
    <mergeCell ref="E1698:F1698"/>
    <mergeCell ref="A1150:B1150"/>
    <mergeCell ref="A250:B250"/>
    <mergeCell ref="G576:H576"/>
    <mergeCell ref="A408:B408"/>
    <mergeCell ref="G1638:H1638"/>
    <mergeCell ref="A1013:B1013"/>
    <mergeCell ref="A619:B619"/>
    <mergeCell ref="A708:B708"/>
    <mergeCell ref="A1471:B1471"/>
    <mergeCell ref="E1168:F1168"/>
    <mergeCell ref="A1008:B1008"/>
    <mergeCell ref="G723:H723"/>
    <mergeCell ref="E1714:F1714"/>
    <mergeCell ref="G717:H717"/>
    <mergeCell ref="E1282:F1282"/>
    <mergeCell ref="E1257:F1257"/>
    <mergeCell ref="E1931:F1931"/>
    <mergeCell ref="G934:H934"/>
    <mergeCell ref="E1468:F1468"/>
    <mergeCell ref="G1023:H1023"/>
    <mergeCell ref="E1626:F1626"/>
    <mergeCell ref="G1103:H1103"/>
    <mergeCell ref="G1234:H1234"/>
    <mergeCell ref="A550:B550"/>
    <mergeCell ref="A1066:B1066"/>
    <mergeCell ref="G929:H929"/>
    <mergeCell ref="A304:B304"/>
    <mergeCell ref="A850:B850"/>
    <mergeCell ref="G1692:H1692"/>
    <mergeCell ref="A936:B936"/>
    <mergeCell ref="A1067:B1067"/>
    <mergeCell ref="A687:B687"/>
    <mergeCell ref="E936:F936"/>
    <mergeCell ref="A2101:B2101"/>
    <mergeCell ref="A1164:B1164"/>
    <mergeCell ref="G178:H178"/>
    <mergeCell ref="A1769:B1769"/>
    <mergeCell ref="A1796:B1796"/>
    <mergeCell ref="A1350:B1350"/>
    <mergeCell ref="A316:B316"/>
    <mergeCell ref="E451:F451"/>
    <mergeCell ref="E445:F445"/>
    <mergeCell ref="E865:F865"/>
    <mergeCell ref="A1366:B1366"/>
    <mergeCell ref="G511:H511"/>
    <mergeCell ref="A344:B344"/>
    <mergeCell ref="E587:F587"/>
    <mergeCell ref="E130:F130"/>
    <mergeCell ref="A669:B669"/>
    <mergeCell ref="G2050:H2050"/>
    <mergeCell ref="E430:F430"/>
    <mergeCell ref="A1508:B1508"/>
    <mergeCell ref="E1218:F1218"/>
    <mergeCell ref="E799:F799"/>
    <mergeCell ref="G847:H847"/>
    <mergeCell ref="A1420:B1420"/>
    <mergeCell ref="A239:B239"/>
    <mergeCell ref="E1518:F1518"/>
    <mergeCell ref="A1720:B1720"/>
    <mergeCell ref="E946:F946"/>
    <mergeCell ref="E1578:F1578"/>
    <mergeCell ref="G581:H581"/>
    <mergeCell ref="G575:H575"/>
    <mergeCell ref="E1115:F1115"/>
    <mergeCell ref="G733:H733"/>
    <mergeCell ref="E37:F37"/>
    <mergeCell ref="A1400:B1400"/>
    <mergeCell ref="E406:F406"/>
    <mergeCell ref="E2034:F2034"/>
    <mergeCell ref="G1652:H1652"/>
    <mergeCell ref="G1952:H1952"/>
    <mergeCell ref="G1495:H1495"/>
    <mergeCell ref="A1327:B1327"/>
    <mergeCell ref="A1302:B1302"/>
    <mergeCell ref="A1416:B1416"/>
    <mergeCell ref="A1022:B1022"/>
    <mergeCell ref="A1627:B1627"/>
    <mergeCell ref="A2:K2"/>
    <mergeCell ref="A1927:B1927"/>
    <mergeCell ref="G1680:H1680"/>
    <mergeCell ref="A2085:B2085"/>
    <mergeCell ref="E548:F548"/>
    <mergeCell ref="G1636:H1636"/>
    <mergeCell ref="E91:F91"/>
    <mergeCell ref="E85:F85"/>
    <mergeCell ref="G183:H183"/>
    <mergeCell ref="G1963:H1963"/>
    <mergeCell ref="E391:F391"/>
    <mergeCell ref="G483:H483"/>
    <mergeCell ref="A1469:B1469"/>
    <mergeCell ref="A1050:B1050"/>
    <mergeCell ref="G1848:H1848"/>
    <mergeCell ref="G151:H151"/>
    <mergeCell ref="G101:H101"/>
    <mergeCell ref="A23:B23"/>
    <mergeCell ref="E1246:F1246"/>
    <mergeCell ref="G276:H276"/>
    <mergeCell ref="A131:B131"/>
    <mergeCell ref="E837:F837"/>
    <mergeCell ref="G1925:H1925"/>
    <mergeCell ref="E380:F380"/>
    <mergeCell ref="G9:H9"/>
    <mergeCell ref="G140:H140"/>
    <mergeCell ref="G797:H797"/>
    <mergeCell ref="A1758:B1758"/>
    <mergeCell ref="G440:H440"/>
    <mergeCell ref="G1097:H1097"/>
    <mergeCell ref="A2058:B2058"/>
    <mergeCell ref="E1153:F1153"/>
    <mergeCell ref="A273:B273"/>
    <mergeCell ref="E1364:F1364"/>
    <mergeCell ref="G367:H367"/>
    <mergeCell ref="E1664:F1664"/>
    <mergeCell ref="G667:H667"/>
    <mergeCell ref="E1822:F1822"/>
    <mergeCell ref="G825:H825"/>
    <mergeCell ref="A1230:B1230"/>
    <mergeCell ref="E1365:F1365"/>
    <mergeCell ref="G368:H368"/>
    <mergeCell ref="A200:B200"/>
    <mergeCell ref="G1430:H1430"/>
    <mergeCell ref="A1980:B1980"/>
    <mergeCell ref="G1125:H1125"/>
    <mergeCell ref="A957:B957"/>
    <mergeCell ref="A500:B500"/>
    <mergeCell ref="A1263:B1263"/>
    <mergeCell ref="G1425:H1425"/>
    <mergeCell ref="A800:B800"/>
    <mergeCell ref="E1506:F1506"/>
    <mergeCell ref="E2067:F2067"/>
    <mergeCell ref="G1228:H1228"/>
    <mergeCell ref="G47:H47"/>
    <mergeCell ref="G1744:H1744"/>
    <mergeCell ref="E745:F745"/>
    <mergeCell ref="G1833:H1833"/>
    <mergeCell ref="E282:F282"/>
    <mergeCell ref="A1246:B1246"/>
    <mergeCell ref="G1528:H1528"/>
    <mergeCell ref="A783:B783"/>
    <mergeCell ref="G2044:H2044"/>
    <mergeCell ref="A1965:B1965"/>
    <mergeCell ref="A1546:B1546"/>
    <mergeCell ref="A1203:B1203"/>
    <mergeCell ref="A1877:B1877"/>
    <mergeCell ref="A930:B930"/>
    <mergeCell ref="E335:F335"/>
    <mergeCell ref="A1257:B1257"/>
    <mergeCell ref="G427:H427"/>
    <mergeCell ref="G2055:H2055"/>
    <mergeCell ref="A2018:B2018"/>
    <mergeCell ref="G270:H270"/>
    <mergeCell ref="E783:F783"/>
    <mergeCell ref="A1888:B1888"/>
    <mergeCell ref="E326:F326"/>
    <mergeCell ref="E1114:F1114"/>
    <mergeCell ref="G117:H117"/>
    <mergeCell ref="E695:F695"/>
    <mergeCell ref="G1783:H1783"/>
    <mergeCell ref="E651:F651"/>
    <mergeCell ref="A103:B103"/>
    <mergeCell ref="E1300:F1300"/>
    <mergeCell ref="E2056:F2056"/>
    <mergeCell ref="G1086:H1086"/>
    <mergeCell ref="G1691:H1691"/>
    <mergeCell ref="A430:B430"/>
    <mergeCell ref="E140:F140"/>
    <mergeCell ref="G1386:H1386"/>
    <mergeCell ref="A1218:B1218"/>
    <mergeCell ref="G1517:H1517"/>
    <mergeCell ref="A1518:B1518"/>
    <mergeCell ref="A1061:B1061"/>
    <mergeCell ref="E1767:F1767"/>
    <mergeCell ref="E287:F287"/>
    <mergeCell ref="G1413:H1413"/>
    <mergeCell ref="E281:F281"/>
    <mergeCell ref="A1818:B1818"/>
    <mergeCell ref="G1533:H1533"/>
    <mergeCell ref="G1527:H1527"/>
    <mergeCell ref="E1414:F1414"/>
    <mergeCell ref="G417:H417"/>
    <mergeCell ref="E995:F995"/>
    <mergeCell ref="A1616:B1616"/>
    <mergeCell ref="G298:H298"/>
    <mergeCell ref="A1311:B1311"/>
    <mergeCell ref="G412:H412"/>
    <mergeCell ref="E379:F379"/>
    <mergeCell ref="A1916:B1916"/>
    <mergeCell ref="G1625:H1625"/>
    <mergeCell ref="E679:F679"/>
    <mergeCell ref="A958:B958"/>
    <mergeCell ref="A1258:B1258"/>
    <mergeCell ref="E1964:F1964"/>
    <mergeCell ref="G967:H967"/>
    <mergeCell ref="A11:B11"/>
    <mergeCell ref="A169:B169"/>
    <mergeCell ref="E928:F928"/>
    <mergeCell ref="E1044:F1044"/>
    <mergeCell ref="G258:H258"/>
    <mergeCell ref="E798:F798"/>
    <mergeCell ref="E929:F929"/>
    <mergeCell ref="A179:B179"/>
    <mergeCell ref="E624:F624"/>
    <mergeCell ref="G564:H564"/>
    <mergeCell ref="G558:H558"/>
    <mergeCell ref="E1229:F1229"/>
    <mergeCell ref="G259:H259"/>
    <mergeCell ref="A91:B91"/>
    <mergeCell ref="A180:B180"/>
    <mergeCell ref="A391:B391"/>
    <mergeCell ref="A480:B480"/>
    <mergeCell ref="A691:B691"/>
    <mergeCell ref="G400:H400"/>
    <mergeCell ref="E940:F940"/>
    <mergeCell ref="G706:H706"/>
    <mergeCell ref="A75:B75"/>
    <mergeCell ref="G401:H401"/>
    <mergeCell ref="A233:B233"/>
    <mergeCell ref="A838:B838"/>
    <mergeCell ref="G701:H701"/>
    <mergeCell ref="A533:B533"/>
    <mergeCell ref="A744:B744"/>
    <mergeCell ref="A833:B833"/>
    <mergeCell ref="A130:B130"/>
    <mergeCell ref="G112:H112"/>
    <mergeCell ref="A136:B136"/>
    <mergeCell ref="A2112:B2112"/>
    <mergeCell ref="A27:B27"/>
    <mergeCell ref="G189:H189"/>
    <mergeCell ref="E276:F276"/>
    <mergeCell ref="E270:F270"/>
    <mergeCell ref="A1807:B1807"/>
    <mergeCell ref="E576:F576"/>
    <mergeCell ref="E570:F570"/>
    <mergeCell ref="A22:B22"/>
    <mergeCell ref="A2107:B2107"/>
    <mergeCell ref="E113:F113"/>
    <mergeCell ref="E1358:F1358"/>
    <mergeCell ref="E1333:F1333"/>
    <mergeCell ref="G336:H336"/>
    <mergeCell ref="E901:F901"/>
    <mergeCell ref="A1865:B1865"/>
    <mergeCell ref="G661:H661"/>
    <mergeCell ref="E1201:F1201"/>
    <mergeCell ref="E1245:F1245"/>
    <mergeCell ref="E1403:F1403"/>
    <mergeCell ref="E1397:F1397"/>
    <mergeCell ref="E1614:F1614"/>
    <mergeCell ref="E1703:F1703"/>
    <mergeCell ref="E1914:F1914"/>
    <mergeCell ref="G1463:H1463"/>
    <mergeCell ref="G1375:H1375"/>
    <mergeCell ref="A1296:B1296"/>
    <mergeCell ref="E1625:F1625"/>
    <mergeCell ref="E1756:F1756"/>
    <mergeCell ref="G1391:H1391"/>
    <mergeCell ref="G1385:H1385"/>
    <mergeCell ref="E1925:F1925"/>
    <mergeCell ref="E1991:F1991"/>
    <mergeCell ref="G994:H994"/>
    <mergeCell ref="A1399:B1399"/>
    <mergeCell ref="A980:B980"/>
    <mergeCell ref="E231:F231"/>
    <mergeCell ref="E206:F206"/>
    <mergeCell ref="G1319:H1319"/>
    <mergeCell ref="A1768:B1768"/>
    <mergeCell ref="A2068:B2068"/>
    <mergeCell ref="E506:F506"/>
    <mergeCell ref="G1619:H1619"/>
    <mergeCell ref="E74:F74"/>
    <mergeCell ref="G1777:H1777"/>
    <mergeCell ref="G1320:H1320"/>
    <mergeCell ref="A1152:B1152"/>
    <mergeCell ref="A1127:B1127"/>
    <mergeCell ref="G2077:H2077"/>
    <mergeCell ref="G1620:H1620"/>
    <mergeCell ref="A1452:B1452"/>
    <mergeCell ref="A1752:B1752"/>
    <mergeCell ref="E242:F242"/>
    <mergeCell ref="E217:F217"/>
    <mergeCell ref="A1910:B1910"/>
    <mergeCell ref="G1674:H1674"/>
    <mergeCell ref="E542:F542"/>
    <mergeCell ref="E129:F129"/>
    <mergeCell ref="G194:H194"/>
    <mergeCell ref="G2005:H2005"/>
    <mergeCell ref="A1812:B1812"/>
    <mergeCell ref="A1349:B1349"/>
    <mergeCell ref="G494:H494"/>
    <mergeCell ref="A1507:B1507"/>
    <mergeCell ref="E1947:F1947"/>
    <mergeCell ref="G950:H950"/>
    <mergeCell ref="E1490:F1490"/>
    <mergeCell ref="A325:B325"/>
    <mergeCell ref="A300:B300"/>
    <mergeCell ref="G1713:H1713"/>
    <mergeCell ref="A1088:B1088"/>
    <mergeCell ref="G1250:H1250"/>
    <mergeCell ref="A625:B625"/>
    <mergeCell ref="A652:B652"/>
    <mergeCell ref="E177:F177"/>
    <mergeCell ref="E1963:F1963"/>
    <mergeCell ref="A1083:B1083"/>
    <mergeCell ref="E1658:F1658"/>
    <mergeCell ref="E178:F178"/>
    <mergeCell ref="G1424:H1424"/>
    <mergeCell ref="E1958:F1958"/>
    <mergeCell ref="G961:H961"/>
    <mergeCell ref="A380:B380"/>
    <mergeCell ref="G1635:H1635"/>
    <mergeCell ref="E478:F478"/>
    <mergeCell ref="G1178:H1178"/>
    <mergeCell ref="G1724:H1724"/>
    <mergeCell ref="A680:B680"/>
    <mergeCell ref="G1935:H1935"/>
    <mergeCell ref="A794:B794"/>
    <mergeCell ref="E1507:F1507"/>
    <mergeCell ref="G1136:H1136"/>
    <mergeCell ref="G1267:H1267"/>
    <mergeCell ref="A1099:B1099"/>
    <mergeCell ref="A1274:B1274"/>
    <mergeCell ref="A880:B880"/>
    <mergeCell ref="A2046:B2046"/>
    <mergeCell ref="G123:H123"/>
    <mergeCell ref="A1741:B1741"/>
    <mergeCell ref="G423:H423"/>
    <mergeCell ref="A2041:B2041"/>
    <mergeCell ref="E531:F531"/>
    <mergeCell ref="E1593:F1593"/>
    <mergeCell ref="G596:H596"/>
    <mergeCell ref="E1136:F1136"/>
    <mergeCell ref="E1267:F1267"/>
    <mergeCell ref="E1294:F1294"/>
    <mergeCell ref="G297:H297"/>
    <mergeCell ref="E831:F831"/>
    <mergeCell ref="G508:H508"/>
    <mergeCell ref="E1567:F1567"/>
    <mergeCell ref="E1594:F1594"/>
    <mergeCell ref="G597:H597"/>
    <mergeCell ref="A429:B429"/>
    <mergeCell ref="G808:H808"/>
    <mergeCell ref="E1894:F1894"/>
    <mergeCell ref="G897:H897"/>
    <mergeCell ref="A729:B729"/>
    <mergeCell ref="E864:F864"/>
    <mergeCell ref="G1571:H1571"/>
    <mergeCell ref="A272:B272"/>
    <mergeCell ref="A946:B946"/>
    <mergeCell ref="G1108:H1108"/>
    <mergeCell ref="G1266:H1266"/>
    <mergeCell ref="E1189:F1189"/>
    <mergeCell ref="G192:H192"/>
    <mergeCell ref="E1278:F1278"/>
    <mergeCell ref="E1495:F1495"/>
    <mergeCell ref="E2109:F2109"/>
    <mergeCell ref="E412:F412"/>
    <mergeCell ref="E456:F456"/>
    <mergeCell ref="A1071:B1071"/>
    <mergeCell ref="A614:B614"/>
    <mergeCell ref="G1869:H1869"/>
    <mergeCell ref="G1896:H1896"/>
    <mergeCell ref="E293:F293"/>
    <mergeCell ref="A1377:B1377"/>
    <mergeCell ref="A1371:B1371"/>
    <mergeCell ref="A914:B914"/>
    <mergeCell ref="E466:F466"/>
    <mergeCell ref="E9:F9"/>
    <mergeCell ref="E167:F167"/>
    <mergeCell ref="A2002:B2002"/>
    <mergeCell ref="E467:F467"/>
    <mergeCell ref="E461:F461"/>
    <mergeCell ref="A1387:B1387"/>
    <mergeCell ref="G1924:H1924"/>
    <mergeCell ref="G227:H227"/>
    <mergeCell ref="E792:F792"/>
    <mergeCell ref="E767:F767"/>
    <mergeCell ref="G444:H444"/>
    <mergeCell ref="E978:F978"/>
    <mergeCell ref="A2056:B2056"/>
    <mergeCell ref="E62:F62"/>
    <mergeCell ref="E608:F608"/>
    <mergeCell ref="E362:F362"/>
    <mergeCell ref="A2057:B2057"/>
    <mergeCell ref="G1608:H1608"/>
    <mergeCell ref="E1125:F1125"/>
    <mergeCell ref="G128:H128"/>
    <mergeCell ref="G1973:H1973"/>
    <mergeCell ref="G1516:H1516"/>
    <mergeCell ref="A255:B255"/>
    <mergeCell ref="A1348:B1348"/>
    <mergeCell ref="G1211:H1211"/>
    <mergeCell ref="A1043:B1043"/>
    <mergeCell ref="A1648:B1648"/>
    <mergeCell ref="G1974:H1974"/>
    <mergeCell ref="A1229:B1229"/>
    <mergeCell ref="A1343:B1343"/>
    <mergeCell ref="E1478:F1478"/>
    <mergeCell ref="G1244:H1244"/>
    <mergeCell ref="E112:F112"/>
    <mergeCell ref="A1643:B1643"/>
    <mergeCell ref="E1778:F1778"/>
    <mergeCell ref="E1892:F1892"/>
    <mergeCell ref="G1569:H1569"/>
    <mergeCell ref="G1544:H1544"/>
    <mergeCell ref="A1529:B1529"/>
    <mergeCell ref="E820:F820"/>
    <mergeCell ref="G1908:H1908"/>
    <mergeCell ref="E363:F363"/>
    <mergeCell ref="A1441:B1441"/>
    <mergeCell ref="G586:H586"/>
    <mergeCell ref="E1120:F1120"/>
    <mergeCell ref="E1489:F1489"/>
    <mergeCell ref="A941:B941"/>
    <mergeCell ref="G492:H492"/>
    <mergeCell ref="E1032:F1032"/>
    <mergeCell ref="E1647:F1647"/>
    <mergeCell ref="G650:H650"/>
    <mergeCell ref="E1190:F1190"/>
    <mergeCell ref="A2079:B2079"/>
    <mergeCell ref="A74:B74"/>
    <mergeCell ref="G373:H373"/>
    <mergeCell ref="A626:B626"/>
    <mergeCell ref="A163:B163"/>
    <mergeCell ref="A294:B294"/>
    <mergeCell ref="E1385:F1385"/>
    <mergeCell ref="A1985:B1985"/>
    <mergeCell ref="A374:B374"/>
    <mergeCell ref="E1086:F1086"/>
    <mergeCell ref="E1843:F1843"/>
    <mergeCell ref="G846:H846"/>
    <mergeCell ref="E1386:F1386"/>
    <mergeCell ref="G389:H389"/>
    <mergeCell ref="E1380:F1380"/>
    <mergeCell ref="G383:H383"/>
    <mergeCell ref="E1538:F1538"/>
    <mergeCell ref="G541:H541"/>
    <mergeCell ref="E1081:F1081"/>
    <mergeCell ref="G84:H84"/>
    <mergeCell ref="G1146:H1146"/>
    <mergeCell ref="A521:B521"/>
    <mergeCell ref="E1844:F1844"/>
    <mergeCell ref="G841:H841"/>
    <mergeCell ref="A216:B216"/>
    <mergeCell ref="A821:B821"/>
    <mergeCell ref="A979:B979"/>
    <mergeCell ref="G1141:H1141"/>
    <mergeCell ref="A516:B516"/>
    <mergeCell ref="E1228:F1228"/>
    <mergeCell ref="G1358:H1358"/>
    <mergeCell ref="A1279:B1279"/>
    <mergeCell ref="G19:H19"/>
    <mergeCell ref="E711:F711"/>
    <mergeCell ref="A1637:B1637"/>
    <mergeCell ref="G1799:H1799"/>
    <mergeCell ref="A1174:B1174"/>
    <mergeCell ref="G319:H319"/>
    <mergeCell ref="A1332:B1332"/>
    <mergeCell ref="A151:B151"/>
    <mergeCell ref="G477:H477"/>
    <mergeCell ref="A1937:B1937"/>
    <mergeCell ref="G14:H14"/>
    <mergeCell ref="A1632:B1632"/>
    <mergeCell ref="A152:B152"/>
    <mergeCell ref="E858:F858"/>
    <mergeCell ref="G1946:H1946"/>
    <mergeCell ref="E401:F401"/>
    <mergeCell ref="E395:F395"/>
    <mergeCell ref="A1932:B1932"/>
    <mergeCell ref="G72:H72"/>
    <mergeCell ref="E1158:F1158"/>
    <mergeCell ref="G1858:H1858"/>
    <mergeCell ref="G161:H161"/>
    <mergeCell ref="E1375:F1375"/>
    <mergeCell ref="G793:H793"/>
    <mergeCell ref="A1779:B1779"/>
    <mergeCell ref="E912:F912"/>
    <mergeCell ref="G461:H461"/>
    <mergeCell ref="E1528:F1528"/>
    <mergeCell ref="A974:B974"/>
    <mergeCell ref="E1739:F1739"/>
    <mergeCell ref="G1505:H1505"/>
    <mergeCell ref="A244:B244"/>
    <mergeCell ref="E31:F31"/>
    <mergeCell ref="G1357:H1357"/>
    <mergeCell ref="G1488:H1488"/>
    <mergeCell ref="E356:F356"/>
    <mergeCell ref="E331:F331"/>
    <mergeCell ref="A1893:B1893"/>
    <mergeCell ref="A863:B863"/>
    <mergeCell ref="A1278:B1278"/>
    <mergeCell ref="G2093:H2093"/>
    <mergeCell ref="E988:F988"/>
    <mergeCell ref="A1495:B1495"/>
    <mergeCell ref="G1657:H1657"/>
    <mergeCell ref="G1788:H1788"/>
    <mergeCell ref="A1163:B1163"/>
    <mergeCell ref="A1190:B1190"/>
    <mergeCell ref="E1288:F1288"/>
    <mergeCell ref="E258:F258"/>
    <mergeCell ref="A858:B858"/>
    <mergeCell ref="A1795:B1795"/>
    <mergeCell ref="A1909:B1909"/>
    <mergeCell ref="A1463:B1463"/>
    <mergeCell ref="A1490:B1490"/>
    <mergeCell ref="A1621:B1621"/>
    <mergeCell ref="E42:F42"/>
    <mergeCell ref="E558:F558"/>
    <mergeCell ref="E716:F716"/>
    <mergeCell ref="G1804:H1804"/>
    <mergeCell ref="E259:F259"/>
    <mergeCell ref="A124:B124"/>
    <mergeCell ref="E253:F253"/>
    <mergeCell ref="G1962:H1962"/>
    <mergeCell ref="E411:F411"/>
    <mergeCell ref="E2072:F2072"/>
    <mergeCell ref="A776:B776"/>
    <mergeCell ref="G1707:H1707"/>
    <mergeCell ref="A1539:B1539"/>
    <mergeCell ref="E1674:F1674"/>
    <mergeCell ref="G677:H677"/>
    <mergeCell ref="A1082:B1082"/>
    <mergeCell ref="G835:H835"/>
    <mergeCell ref="A1240:B1240"/>
    <mergeCell ref="E1369:F1369"/>
    <mergeCell ref="G372:H372"/>
    <mergeCell ref="G1135:H1135"/>
    <mergeCell ref="E1669:F1669"/>
    <mergeCell ref="A510:B510"/>
    <mergeCell ref="G672:H672"/>
    <mergeCell ref="A1751:B1751"/>
    <mergeCell ref="E189:F189"/>
    <mergeCell ref="G1460:H1460"/>
    <mergeCell ref="E2000:F2000"/>
    <mergeCell ref="A810:B810"/>
    <mergeCell ref="A505:B505"/>
    <mergeCell ref="G1760:H1760"/>
    <mergeCell ref="A1567:B1567"/>
    <mergeCell ref="A1110:B1110"/>
    <mergeCell ref="E1816:F1816"/>
    <mergeCell ref="E205:F205"/>
    <mergeCell ref="A805:B805"/>
    <mergeCell ref="A1898:B1898"/>
    <mergeCell ref="G2060:H2060"/>
    <mergeCell ref="G1499:H1499"/>
    <mergeCell ref="E1016:F1016"/>
    <mergeCell ref="A1990:B1990"/>
    <mergeCell ref="A2109:B2109"/>
    <mergeCell ref="A412:B412"/>
    <mergeCell ref="A107:B107"/>
    <mergeCell ref="E1304:F1304"/>
    <mergeCell ref="G307:H307"/>
    <mergeCell ref="A712:B712"/>
    <mergeCell ref="A870:B870"/>
    <mergeCell ref="E961:F961"/>
    <mergeCell ref="E1635:F1635"/>
    <mergeCell ref="E656:F656"/>
    <mergeCell ref="A624:B624"/>
    <mergeCell ref="E1330:F1330"/>
    <mergeCell ref="A1170:B1170"/>
    <mergeCell ref="E1935:F1935"/>
    <mergeCell ref="G422:H422"/>
    <mergeCell ref="E1630:F1630"/>
    <mergeCell ref="G633:H633"/>
    <mergeCell ref="A440:B440"/>
    <mergeCell ref="G722:H722"/>
    <mergeCell ref="E689:F689"/>
    <mergeCell ref="G1396:H1396"/>
    <mergeCell ref="E1930:F1930"/>
    <mergeCell ref="A771:B771"/>
    <mergeCell ref="G933:H933"/>
    <mergeCell ref="E989:F989"/>
    <mergeCell ref="E1646:F1646"/>
    <mergeCell ref="A766:B766"/>
    <mergeCell ref="E1472:F1472"/>
    <mergeCell ref="G1406:H1406"/>
    <mergeCell ref="E1946:F1946"/>
    <mergeCell ref="E2077:F2077"/>
    <mergeCell ref="G1107:H1107"/>
    <mergeCell ref="G2049:H2049"/>
    <mergeCell ref="A1424:B1424"/>
    <mergeCell ref="A2029:B2029"/>
    <mergeCell ref="G264:H264"/>
    <mergeCell ref="A1724:B1724"/>
    <mergeCell ref="G279:H279"/>
    <mergeCell ref="E819:F819"/>
    <mergeCell ref="E950:F950"/>
    <mergeCell ref="E645:F645"/>
    <mergeCell ref="G585:H585"/>
    <mergeCell ref="G737:H737"/>
    <mergeCell ref="E1250:F1250"/>
    <mergeCell ref="G280:H280"/>
    <mergeCell ref="E1408:F1408"/>
    <mergeCell ref="G274:H274"/>
    <mergeCell ref="A112:B112"/>
    <mergeCell ref="G411:H411"/>
    <mergeCell ref="E945:F945"/>
    <mergeCell ref="G1037:H1037"/>
    <mergeCell ref="G580:H580"/>
    <mergeCell ref="E1772:F1772"/>
    <mergeCell ref="G1712:H1712"/>
    <mergeCell ref="E161:F161"/>
    <mergeCell ref="G1407:H1407"/>
    <mergeCell ref="A1239:B1239"/>
    <mergeCell ref="G1538:H1538"/>
    <mergeCell ref="E2039:F2039"/>
    <mergeCell ref="A1295:B1295"/>
    <mergeCell ref="A569:B569"/>
    <mergeCell ref="A544:B544"/>
    <mergeCell ref="G1500:H1500"/>
    <mergeCell ref="G885:H885"/>
    <mergeCell ref="E2038:F2038"/>
    <mergeCell ref="E1575:F1575"/>
    <mergeCell ref="G1684:H1684"/>
    <mergeCell ref="A2089:B2089"/>
    <mergeCell ref="G1341:H1341"/>
    <mergeCell ref="E1919:F1919"/>
    <mergeCell ref="A1173:B1173"/>
    <mergeCell ref="G922:H922"/>
    <mergeCell ref="G1036:H1036"/>
    <mergeCell ref="A1359:B1359"/>
    <mergeCell ref="G1641:H1641"/>
    <mergeCell ref="A1473:B1473"/>
    <mergeCell ref="A1060:B1060"/>
    <mergeCell ref="A1054:B1054"/>
    <mergeCell ref="A1354:B1354"/>
    <mergeCell ref="E2066:F2066"/>
    <mergeCell ref="E455:F455"/>
    <mergeCell ref="A1055:B1055"/>
    <mergeCell ref="G1695:H1695"/>
    <mergeCell ref="A1528:B1528"/>
    <mergeCell ref="A1065:B1065"/>
    <mergeCell ref="A1739:B1739"/>
    <mergeCell ref="A1828:B1828"/>
    <mergeCell ref="E508:F508"/>
    <mergeCell ref="A2039:B2039"/>
    <mergeCell ref="G1291:H1291"/>
    <mergeCell ref="G1837:H1837"/>
    <mergeCell ref="E808:F808"/>
    <mergeCell ref="G2054:H2054"/>
    <mergeCell ref="E503:F503"/>
    <mergeCell ref="G1591:H1591"/>
    <mergeCell ref="G1749:H1749"/>
    <mergeCell ref="A41:B41"/>
    <mergeCell ref="G1271:H1271"/>
    <mergeCell ref="A690:B690"/>
    <mergeCell ref="A804:B804"/>
    <mergeCell ref="E939:F939"/>
    <mergeCell ref="A341:B341"/>
    <mergeCell ref="G1183:H1183"/>
    <mergeCell ref="G568:H568"/>
    <mergeCell ref="A973:B973"/>
    <mergeCell ref="E1239:F1239"/>
    <mergeCell ref="E1233:F1233"/>
    <mergeCell ref="E1896:F1896"/>
    <mergeCell ref="G999:H999"/>
    <mergeCell ref="A401:B401"/>
    <mergeCell ref="G1656:H1656"/>
    <mergeCell ref="G1199:H1199"/>
    <mergeCell ref="A701:B701"/>
    <mergeCell ref="G1651:H1651"/>
    <mergeCell ref="A1026:B1026"/>
    <mergeCell ref="A1001:B1001"/>
    <mergeCell ref="A1789:B1789"/>
    <mergeCell ref="A1326:B1326"/>
    <mergeCell ref="E449:F449"/>
    <mergeCell ref="E123:F123"/>
    <mergeCell ref="E150:F150"/>
    <mergeCell ref="E450:F450"/>
    <mergeCell ref="E118:F118"/>
    <mergeCell ref="G210:H210"/>
    <mergeCell ref="A43:B43"/>
    <mergeCell ref="E134:F134"/>
    <mergeCell ref="E292:F292"/>
    <mergeCell ref="G52:H52"/>
    <mergeCell ref="A1984:B1984"/>
    <mergeCell ref="E1195:F1195"/>
    <mergeCell ref="G1129:H1129"/>
    <mergeCell ref="G1287:H1287"/>
    <mergeCell ref="E1210:F1210"/>
    <mergeCell ref="A662:B662"/>
    <mergeCell ref="A199:B199"/>
    <mergeCell ref="A288:B288"/>
    <mergeCell ref="A962:B962"/>
    <mergeCell ref="E1053:F1053"/>
    <mergeCell ref="E1668:F1668"/>
    <mergeCell ref="G671:H671"/>
    <mergeCell ref="E1211:F1211"/>
    <mergeCell ref="E1205:F1205"/>
    <mergeCell ref="G208:H208"/>
    <mergeCell ref="E906:F906"/>
    <mergeCell ref="G840:H840"/>
    <mergeCell ref="E1968:F1968"/>
    <mergeCell ref="G971:H971"/>
    <mergeCell ref="E1511:F1511"/>
    <mergeCell ref="G552:H552"/>
    <mergeCell ref="A346:B346"/>
    <mergeCell ref="G1956:H1956"/>
    <mergeCell ref="E1924:F1924"/>
    <mergeCell ref="E1108:F1108"/>
    <mergeCell ref="E1266:F1266"/>
    <mergeCell ref="E803:F803"/>
    <mergeCell ref="A1729:B1729"/>
    <mergeCell ref="A1207:B1207"/>
    <mergeCell ref="E427:F427"/>
    <mergeCell ref="A1501:B1501"/>
    <mergeCell ref="E1750:F1750"/>
    <mergeCell ref="A2077:B2077"/>
    <mergeCell ref="E83:F83"/>
    <mergeCell ref="A1620:B1620"/>
    <mergeCell ref="A1315:B1315"/>
    <mergeCell ref="E383:F383"/>
    <mergeCell ref="A1920:B1920"/>
    <mergeCell ref="E541:F541"/>
    <mergeCell ref="G1629:H1629"/>
    <mergeCell ref="A2078:B2078"/>
    <mergeCell ref="A2072:B2072"/>
    <mergeCell ref="E84:F84"/>
    <mergeCell ref="E78:F78"/>
    <mergeCell ref="G1787:H1787"/>
    <mergeCell ref="E841:F841"/>
    <mergeCell ref="E384:F384"/>
    <mergeCell ref="E378:F378"/>
    <mergeCell ref="E536:F536"/>
    <mergeCell ref="A1462:B1462"/>
    <mergeCell ref="G1624:H1624"/>
    <mergeCell ref="E1141:F1141"/>
    <mergeCell ref="G144:H144"/>
    <mergeCell ref="A1673:B1673"/>
    <mergeCell ref="A1762:B1762"/>
    <mergeCell ref="A1457:B1457"/>
    <mergeCell ref="A1973:B1973"/>
    <mergeCell ref="A2062:B2062"/>
    <mergeCell ref="E106:F106"/>
    <mergeCell ref="A146:B146"/>
    <mergeCell ref="A1974:B1974"/>
    <mergeCell ref="E852:F852"/>
    <mergeCell ref="G529:H529"/>
    <mergeCell ref="G504:H504"/>
    <mergeCell ref="E14:F14"/>
    <mergeCell ref="G1285:H1285"/>
    <mergeCell ref="E1825:F1825"/>
    <mergeCell ref="A635:B635"/>
    <mergeCell ref="G1917:H1917"/>
    <mergeCell ref="G1471:H1471"/>
    <mergeCell ref="E314:F314"/>
    <mergeCell ref="A330:B330"/>
    <mergeCell ref="G1585:H1585"/>
    <mergeCell ref="A1392:B1392"/>
    <mergeCell ref="A935:B935"/>
    <mergeCell ref="A630:B630"/>
    <mergeCell ref="A1723:B1723"/>
    <mergeCell ref="G1885:H1885"/>
    <mergeCell ref="G432:H432"/>
    <mergeCell ref="E399:F399"/>
    <mergeCell ref="G1487:H1487"/>
    <mergeCell ref="G1645:H1645"/>
    <mergeCell ref="E488:F488"/>
    <mergeCell ref="E25:F25"/>
    <mergeCell ref="E699:F699"/>
    <mergeCell ref="E788:F788"/>
    <mergeCell ref="E394:F394"/>
    <mergeCell ref="A1320:B1320"/>
    <mergeCell ref="G1482:H1482"/>
    <mergeCell ref="G1640:H1640"/>
    <mergeCell ref="E999:F999"/>
    <mergeCell ref="A1015:B1015"/>
    <mergeCell ref="E1069:F1069"/>
    <mergeCell ref="E1063:F1063"/>
    <mergeCell ref="G829:H829"/>
    <mergeCell ref="G524:H524"/>
    <mergeCell ref="E2060:F2060"/>
    <mergeCell ref="G1090:H1090"/>
    <mergeCell ref="G1221:H1221"/>
    <mergeCell ref="E1755:F1755"/>
    <mergeCell ref="A590:B590"/>
    <mergeCell ref="A565:B565"/>
    <mergeCell ref="G1390:H1390"/>
    <mergeCell ref="G1521:H1521"/>
    <mergeCell ref="A917:B917"/>
    <mergeCell ref="G1216:H1216"/>
    <mergeCell ref="E1183:F1183"/>
    <mergeCell ref="E1788:F1788"/>
    <mergeCell ref="G818:H818"/>
    <mergeCell ref="E1771:F1771"/>
    <mergeCell ref="A1223:B1223"/>
    <mergeCell ref="E1352:F1352"/>
    <mergeCell ref="G1537:H1537"/>
    <mergeCell ref="G1118:H1118"/>
    <mergeCell ref="A950:B950"/>
    <mergeCell ref="G1881:H1881"/>
    <mergeCell ref="G1418:H1418"/>
    <mergeCell ref="A1250:B1250"/>
    <mergeCell ref="E1499:F1499"/>
    <mergeCell ref="A951:B951"/>
    <mergeCell ref="A945:B945"/>
    <mergeCell ref="E1799:F1799"/>
    <mergeCell ref="A1251:B1251"/>
    <mergeCell ref="G802:H802"/>
    <mergeCell ref="E1494:F1494"/>
    <mergeCell ref="A1576:B1576"/>
    <mergeCell ref="A2023:B2023"/>
    <mergeCell ref="G1945:H1945"/>
    <mergeCell ref="A2012:B2012"/>
    <mergeCell ref="A2006:B2006"/>
    <mergeCell ref="A96:B96"/>
    <mergeCell ref="E1407:F1407"/>
    <mergeCell ref="A2007:B2007"/>
    <mergeCell ref="G448:H448"/>
    <mergeCell ref="G404:H404"/>
    <mergeCell ref="E944:F944"/>
    <mergeCell ref="E1102:F1102"/>
    <mergeCell ref="G105:H105"/>
    <mergeCell ref="E1313:F1313"/>
    <mergeCell ref="E1865:F1865"/>
    <mergeCell ref="G868:H868"/>
    <mergeCell ref="A123:B123"/>
    <mergeCell ref="E1402:F1402"/>
    <mergeCell ref="G405:H405"/>
    <mergeCell ref="A1934:B1934"/>
    <mergeCell ref="A237:B237"/>
    <mergeCell ref="E372:F372"/>
    <mergeCell ref="A423:B423"/>
    <mergeCell ref="A537:B537"/>
    <mergeCell ref="E672:F672"/>
    <mergeCell ref="G1379:H1379"/>
    <mergeCell ref="A118:B118"/>
    <mergeCell ref="A238:B238"/>
    <mergeCell ref="E367:F367"/>
    <mergeCell ref="E1460:F1460"/>
    <mergeCell ref="E1760:F1760"/>
    <mergeCell ref="E1455:F1455"/>
    <mergeCell ref="A134:B134"/>
    <mergeCell ref="A265:B265"/>
    <mergeCell ref="A188:B188"/>
    <mergeCell ref="G198:H198"/>
    <mergeCell ref="A1184:B1184"/>
    <mergeCell ref="A1211:B1211"/>
    <mergeCell ref="A1816:B1816"/>
    <mergeCell ref="A879:B879"/>
    <mergeCell ref="G1679:H1679"/>
    <mergeCell ref="A1484:B1484"/>
    <mergeCell ref="A1511:B1511"/>
    <mergeCell ref="A1642:B1642"/>
    <mergeCell ref="A1179:B1179"/>
    <mergeCell ref="E280:F280"/>
    <mergeCell ref="E274:F274"/>
    <mergeCell ref="A1811:B1811"/>
    <mergeCell ref="E432:F432"/>
    <mergeCell ref="G1737:H1737"/>
    <mergeCell ref="E186:F186"/>
    <mergeCell ref="A26:B26"/>
    <mergeCell ref="E732:F732"/>
    <mergeCell ref="E275:F275"/>
    <mergeCell ref="G340:H340"/>
    <mergeCell ref="A1353:B1353"/>
    <mergeCell ref="G1732:H1732"/>
    <mergeCell ref="G35:H35"/>
    <mergeCell ref="G252:H252"/>
    <mergeCell ref="A1653:B1653"/>
    <mergeCell ref="G366:H366"/>
    <mergeCell ref="A173:B173"/>
    <mergeCell ref="E633:F633"/>
    <mergeCell ref="E328:F328"/>
    <mergeCell ref="A168:B168"/>
    <mergeCell ref="E933:F933"/>
    <mergeCell ref="E628:F628"/>
    <mergeCell ref="E210:F210"/>
    <mergeCell ref="E1901:F1901"/>
    <mergeCell ref="A226:B226"/>
    <mergeCell ref="G1481:H1481"/>
    <mergeCell ref="G1456:H1456"/>
    <mergeCell ref="E2021:F2021"/>
    <mergeCell ref="G1667:H1667"/>
    <mergeCell ref="A526:B526"/>
    <mergeCell ref="G1781:H1781"/>
    <mergeCell ref="G1324:H1324"/>
    <mergeCell ref="A737:B737"/>
    <mergeCell ref="A1283:B1283"/>
    <mergeCell ref="A851:B851"/>
    <mergeCell ref="A826:B826"/>
    <mergeCell ref="A1500:B1500"/>
    <mergeCell ref="A1037:B1037"/>
    <mergeCell ref="E1749:F1749"/>
    <mergeCell ref="G752:H752"/>
    <mergeCell ref="A1157:B1157"/>
    <mergeCell ref="A1195:B1195"/>
    <mergeCell ref="E1286:F1286"/>
    <mergeCell ref="G1378:H1378"/>
    <mergeCell ref="G1509:H1509"/>
    <mergeCell ref="E1586:F1586"/>
    <mergeCell ref="E1744:F1744"/>
    <mergeCell ref="G747:H747"/>
    <mergeCell ref="G1809:H1809"/>
    <mergeCell ref="E264:F264"/>
    <mergeCell ref="A1870:B1870"/>
    <mergeCell ref="A1864:B1864"/>
    <mergeCell ref="A1953:B1953"/>
    <mergeCell ref="G1879:H1879"/>
    <mergeCell ref="A2114:B2114"/>
    <mergeCell ref="E552:F552"/>
    <mergeCell ref="E535:F535"/>
    <mergeCell ref="E666:F666"/>
    <mergeCell ref="E1298:F1298"/>
    <mergeCell ref="G301:H301"/>
    <mergeCell ref="E966:F966"/>
    <mergeCell ref="E1598:F1598"/>
    <mergeCell ref="G601:H601"/>
    <mergeCell ref="A2105:B2105"/>
    <mergeCell ref="G296:H296"/>
    <mergeCell ref="A1773:B1773"/>
    <mergeCell ref="E563:F563"/>
    <mergeCell ref="E1351:F1351"/>
    <mergeCell ref="G354:H354"/>
    <mergeCell ref="G329:H329"/>
    <mergeCell ref="E894:F894"/>
    <mergeCell ref="E1651:F1651"/>
    <mergeCell ref="G654:H654"/>
    <mergeCell ref="G629:H629"/>
    <mergeCell ref="E1194:F1194"/>
    <mergeCell ref="E1346:F1346"/>
    <mergeCell ref="G349:H349"/>
    <mergeCell ref="E1951:F1951"/>
    <mergeCell ref="G954:H954"/>
    <mergeCell ref="G1112:H1112"/>
    <mergeCell ref="E1379:F1379"/>
    <mergeCell ref="G382:H382"/>
    <mergeCell ref="A787:B787"/>
    <mergeCell ref="G551:H551"/>
    <mergeCell ref="G682:H682"/>
    <mergeCell ref="A689:B689"/>
    <mergeCell ref="A2066:B2066"/>
    <mergeCell ref="G143:H143"/>
    <mergeCell ref="A2060:B2060"/>
    <mergeCell ref="A1761:B1761"/>
    <mergeCell ref="E524:F524"/>
    <mergeCell ref="G1612:H1612"/>
    <mergeCell ref="A2061:B2061"/>
    <mergeCell ref="E67:F67"/>
    <mergeCell ref="G1770:H1770"/>
    <mergeCell ref="E1129:F1129"/>
    <mergeCell ref="E219:F219"/>
    <mergeCell ref="G1307:H1307"/>
    <mergeCell ref="E824:F824"/>
    <mergeCell ref="G2070:H2070"/>
    <mergeCell ref="A1445:B1445"/>
    <mergeCell ref="G127:H127"/>
    <mergeCell ref="A1140:B1140"/>
    <mergeCell ref="G285:H285"/>
    <mergeCell ref="E252:F252"/>
    <mergeCell ref="A1745:B1745"/>
    <mergeCell ref="E366:F366"/>
    <mergeCell ref="A1903:B1903"/>
    <mergeCell ref="E840:F840"/>
    <mergeCell ref="E998:F998"/>
    <mergeCell ref="A156:B156"/>
    <mergeCell ref="G251:H251"/>
    <mergeCell ref="A84:B84"/>
    <mergeCell ref="E182:F182"/>
    <mergeCell ref="A384:B384"/>
    <mergeCell ref="A515:B515"/>
    <mergeCell ref="A989:B989"/>
    <mergeCell ref="A1103:B1103"/>
    <mergeCell ref="G180:H180"/>
    <mergeCell ref="E1940:F1940"/>
    <mergeCell ref="G943:H943"/>
    <mergeCell ref="E1483:F1483"/>
    <mergeCell ref="A318:B318"/>
    <mergeCell ref="G1548:H1548"/>
    <mergeCell ref="G1706:H1706"/>
    <mergeCell ref="A923:B923"/>
    <mergeCell ref="A13:B13"/>
    <mergeCell ref="G1243:H1243"/>
    <mergeCell ref="A1075:B1075"/>
    <mergeCell ref="A618:B618"/>
    <mergeCell ref="G2031:H2031"/>
    <mergeCell ref="A918:B918"/>
    <mergeCell ref="A1076:B1076"/>
    <mergeCell ref="A1070:B1070"/>
    <mergeCell ref="E171:F171"/>
    <mergeCell ref="E1835:F1835"/>
    <mergeCell ref="G1628:H1628"/>
    <mergeCell ref="E471:F471"/>
    <mergeCell ref="G1717:H1717"/>
    <mergeCell ref="G148:H148"/>
    <mergeCell ref="E1836:F1836"/>
    <mergeCell ref="E166:F166"/>
    <mergeCell ref="G1928:H1928"/>
    <mergeCell ref="G2017:H2017"/>
    <mergeCell ref="A1849:B1849"/>
    <mergeCell ref="A24:B24"/>
    <mergeCell ref="A684:B684"/>
    <mergeCell ref="A815:B815"/>
    <mergeCell ref="E1696:F1696"/>
    <mergeCell ref="G693:H693"/>
    <mergeCell ref="E50:F50"/>
    <mergeCell ref="A983:B983"/>
    <mergeCell ref="G115:H115"/>
    <mergeCell ref="E1232:F1232"/>
    <mergeCell ref="E813:F813"/>
    <mergeCell ref="E769:F769"/>
    <mergeCell ref="E1418:F1418"/>
    <mergeCell ref="G579:H579"/>
    <mergeCell ref="E1532:F1532"/>
    <mergeCell ref="G573:H573"/>
    <mergeCell ref="E1138:F1138"/>
    <mergeCell ref="E1113:F1113"/>
    <mergeCell ref="G141:H141"/>
    <mergeCell ref="G116:H116"/>
    <mergeCell ref="E1413:F1413"/>
    <mergeCell ref="G416:H416"/>
    <mergeCell ref="A248:B248"/>
    <mergeCell ref="A406:B406"/>
    <mergeCell ref="G1204:H1204"/>
    <mergeCell ref="A906:B906"/>
    <mergeCell ref="E1166:F1166"/>
    <mergeCell ref="G584:H584"/>
    <mergeCell ref="E1124:F1124"/>
    <mergeCell ref="G932:H932"/>
    <mergeCell ref="G915:H915"/>
    <mergeCell ref="A722:B722"/>
    <mergeCell ref="A933:B933"/>
    <mergeCell ref="G1215:H1215"/>
    <mergeCell ref="E1182:F1182"/>
    <mergeCell ref="A1233:B1233"/>
    <mergeCell ref="E1482:F1482"/>
    <mergeCell ref="A934:B934"/>
    <mergeCell ref="G18:H18"/>
    <mergeCell ref="A2099:B2099"/>
    <mergeCell ref="E105:F105"/>
    <mergeCell ref="E99:F99"/>
    <mergeCell ref="A1636:B1636"/>
    <mergeCell ref="G1562:H1562"/>
    <mergeCell ref="E405:F405"/>
    <mergeCell ref="E2096:F2096"/>
    <mergeCell ref="E100:F100"/>
    <mergeCell ref="A1064:B1064"/>
    <mergeCell ref="G1862:H1862"/>
    <mergeCell ref="G165:H165"/>
    <mergeCell ref="G1557:H1557"/>
    <mergeCell ref="E400:F400"/>
    <mergeCell ref="E1074:F1074"/>
    <mergeCell ref="G77:H77"/>
    <mergeCell ref="A1689:B1689"/>
    <mergeCell ref="E127:F127"/>
    <mergeCell ref="A1995:B1995"/>
    <mergeCell ref="E433:F433"/>
    <mergeCell ref="A1989:B1989"/>
    <mergeCell ref="E1090:F1090"/>
    <mergeCell ref="E1084:F1084"/>
    <mergeCell ref="E785:F785"/>
    <mergeCell ref="E1847:F1847"/>
    <mergeCell ref="G850:H850"/>
    <mergeCell ref="E1390:F1390"/>
    <mergeCell ref="G545:H545"/>
    <mergeCell ref="E1085:F1085"/>
    <mergeCell ref="A2049:B2049"/>
    <mergeCell ref="G88:H88"/>
    <mergeCell ref="E1216:F1216"/>
    <mergeCell ref="E35:F35"/>
    <mergeCell ref="G1281:H1281"/>
    <mergeCell ref="E1846:F1846"/>
    <mergeCell ref="E1427:F1427"/>
    <mergeCell ref="G1492:H1492"/>
    <mergeCell ref="E2032:F2032"/>
    <mergeCell ref="A351:B351"/>
    <mergeCell ref="G1187:H1187"/>
    <mergeCell ref="E30:F30"/>
    <mergeCell ref="A562:B562"/>
    <mergeCell ref="A651:B651"/>
    <mergeCell ref="G1493:H1493"/>
    <mergeCell ref="A1325:B1325"/>
    <mergeCell ref="A5:K5"/>
    <mergeCell ref="A868:B868"/>
    <mergeCell ref="A862:B862"/>
    <mergeCell ref="E720:F720"/>
    <mergeCell ref="E263:F263"/>
    <mergeCell ref="E415:F415"/>
    <mergeCell ref="G1503:H1503"/>
    <mergeCell ref="G1661:H1661"/>
    <mergeCell ref="E1020:F1020"/>
    <mergeCell ref="G23:H23"/>
    <mergeCell ref="A1036:B1036"/>
    <mergeCell ref="G181:H181"/>
    <mergeCell ref="E715:F715"/>
    <mergeCell ref="A1641:B1641"/>
    <mergeCell ref="G1967:H1967"/>
    <mergeCell ref="G1961:H1961"/>
    <mergeCell ref="E932:F932"/>
    <mergeCell ref="G1504:H1504"/>
    <mergeCell ref="A1336:B1336"/>
    <mergeCell ref="G7:H7"/>
    <mergeCell ref="G1100:H1100"/>
    <mergeCell ref="E1634:F1634"/>
    <mergeCell ref="A145:B145"/>
    <mergeCell ref="G1400:H1400"/>
    <mergeCell ref="A139:B139"/>
    <mergeCell ref="E388:F388"/>
    <mergeCell ref="G1095:H1095"/>
    <mergeCell ref="E1062:F1062"/>
    <mergeCell ref="G65:H65"/>
    <mergeCell ref="G154:H154"/>
    <mergeCell ref="G365:H365"/>
    <mergeCell ref="A770:B770"/>
    <mergeCell ref="E1345:F1345"/>
    <mergeCell ref="G454:H454"/>
    <mergeCell ref="A1983:B1983"/>
    <mergeCell ref="G60:H60"/>
    <mergeCell ref="G1111:H1111"/>
    <mergeCell ref="G665:H665"/>
    <mergeCell ref="E1363:F1363"/>
    <mergeCell ref="G1411:H1411"/>
    <mergeCell ref="A1978:B1978"/>
    <mergeCell ref="A367:B367"/>
    <mergeCell ref="A498:B498"/>
    <mergeCell ref="A193:B193"/>
    <mergeCell ref="A667:B667"/>
    <mergeCell ref="E1373:F1373"/>
    <mergeCell ref="G376:H376"/>
    <mergeCell ref="G534:H534"/>
    <mergeCell ref="G1139:H1139"/>
    <mergeCell ref="A514:B514"/>
    <mergeCell ref="G834:H834"/>
    <mergeCell ref="G2106:H2106"/>
    <mergeCell ref="G2081:H2081"/>
    <mergeCell ref="E949:F949"/>
    <mergeCell ref="G110:H110"/>
    <mergeCell ref="G742:H742"/>
    <mergeCell ref="A117:B117"/>
    <mergeCell ref="A111:B111"/>
    <mergeCell ref="E246:F246"/>
    <mergeCell ref="G410:H410"/>
    <mergeCell ref="E377:F377"/>
    <mergeCell ref="E1009:F1009"/>
    <mergeCell ref="G12:H12"/>
    <mergeCell ref="G1792:H1792"/>
    <mergeCell ref="E247:F247"/>
    <mergeCell ref="E1334:F1334"/>
    <mergeCell ref="E1309:F1309"/>
    <mergeCell ref="G312:H312"/>
    <mergeCell ref="E2081:F2081"/>
    <mergeCell ref="E1374:F1374"/>
    <mergeCell ref="A209:B209"/>
    <mergeCell ref="G1439:H1439"/>
    <mergeCell ref="G1045:H1045"/>
    <mergeCell ref="A814:B814"/>
    <mergeCell ref="A972:B972"/>
    <mergeCell ref="G1134:H1134"/>
    <mergeCell ref="A966:B966"/>
    <mergeCell ref="A509:B509"/>
    <mergeCell ref="A1183:B1183"/>
    <mergeCell ref="G1465:H1465"/>
    <mergeCell ref="A1272:B1272"/>
    <mergeCell ref="A809:B809"/>
    <mergeCell ref="E1515:F1515"/>
    <mergeCell ref="E207:F207"/>
    <mergeCell ref="A47:B47"/>
    <mergeCell ref="A1744:B1744"/>
    <mergeCell ref="G1453:H1453"/>
    <mergeCell ref="E296:F296"/>
    <mergeCell ref="E970:F970"/>
    <mergeCell ref="G2058:H2058"/>
    <mergeCell ref="E507:F507"/>
    <mergeCell ref="G1753:H1753"/>
    <mergeCell ref="A1560:B1560"/>
    <mergeCell ref="A1128:B1128"/>
    <mergeCell ref="G273:H273"/>
    <mergeCell ref="E807:F807"/>
    <mergeCell ref="A1891:B1891"/>
    <mergeCell ref="G2053:H2053"/>
    <mergeCell ref="A1885:B1885"/>
    <mergeCell ref="A1428:B1428"/>
    <mergeCell ref="G268:H268"/>
    <mergeCell ref="A1728:B1728"/>
    <mergeCell ref="E349:F349"/>
    <mergeCell ref="A1886:B1886"/>
    <mergeCell ref="G1595:H1595"/>
    <mergeCell ref="E954:F954"/>
    <mergeCell ref="E518:F518"/>
    <mergeCell ref="E649:F649"/>
    <mergeCell ref="G1895:H1895"/>
    <mergeCell ref="G284:H284"/>
    <mergeCell ref="G415:H415"/>
    <mergeCell ref="G518:H518"/>
    <mergeCell ref="G1192:H1192"/>
    <mergeCell ref="E1732:F1732"/>
    <mergeCell ref="G481:H481"/>
    <mergeCell ref="E2070:F2070"/>
    <mergeCell ref="E1765:F1765"/>
    <mergeCell ref="E285:F285"/>
    <mergeCell ref="E1976:F1976"/>
    <mergeCell ref="G979:H979"/>
    <mergeCell ref="A1232:B1232"/>
    <mergeCell ref="G1531:H1531"/>
    <mergeCell ref="G1525:H1525"/>
    <mergeCell ref="E2065:F2065"/>
    <mergeCell ref="G1611:H1611"/>
    <mergeCell ref="A900:B900"/>
    <mergeCell ref="G1700:H1700"/>
    <mergeCell ref="G1279:H1279"/>
    <mergeCell ref="A1532:B1532"/>
    <mergeCell ref="G1831:H1831"/>
    <mergeCell ref="G1911:H1911"/>
    <mergeCell ref="A1227:B1227"/>
    <mergeCell ref="E295:F295"/>
    <mergeCell ref="A1112:B1112"/>
    <mergeCell ref="A1527:B1527"/>
    <mergeCell ref="G845:H845"/>
    <mergeCell ref="E1543:F1543"/>
    <mergeCell ref="G546:H546"/>
    <mergeCell ref="A2034:B2034"/>
    <mergeCell ref="E1917:F1917"/>
    <mergeCell ref="E1560:F1560"/>
    <mergeCell ref="E1912:F1912"/>
    <mergeCell ref="G485:H485"/>
    <mergeCell ref="E1640:F1640"/>
    <mergeCell ref="G643:H643"/>
    <mergeCell ref="A1048:B1048"/>
    <mergeCell ref="E1177:F1177"/>
    <mergeCell ref="A2110:B2110"/>
    <mergeCell ref="A1678:B1678"/>
    <mergeCell ref="E111:F111"/>
    <mergeCell ref="E1204:F1204"/>
    <mergeCell ref="G228:H228"/>
    <mergeCell ref="E768:F768"/>
    <mergeCell ref="A1821:B1821"/>
    <mergeCell ref="G528:H528"/>
    <mergeCell ref="E584:F584"/>
    <mergeCell ref="E915:F915"/>
    <mergeCell ref="A361:B361"/>
    <mergeCell ref="G1742:H1742"/>
    <mergeCell ref="G675:H675"/>
    <mergeCell ref="E1215:F1215"/>
    <mergeCell ref="G256:H256"/>
    <mergeCell ref="A661:B661"/>
    <mergeCell ref="E796:F796"/>
    <mergeCell ref="G2042:H2042"/>
    <mergeCell ref="E910:F910"/>
    <mergeCell ref="E1096:F1096"/>
    <mergeCell ref="G676:H676"/>
    <mergeCell ref="G257:H257"/>
    <mergeCell ref="A694:B694"/>
    <mergeCell ref="G272:H272"/>
    <mergeCell ref="A345:B345"/>
    <mergeCell ref="E638:F638"/>
    <mergeCell ref="E1243:F1243"/>
    <mergeCell ref="G398:H398"/>
    <mergeCell ref="E938:F938"/>
    <mergeCell ref="E1595:F1595"/>
    <mergeCell ref="A405:B405"/>
    <mergeCell ref="E1238:F1238"/>
    <mergeCell ref="A2081:B2081"/>
    <mergeCell ref="A1782:B1782"/>
    <mergeCell ref="G1944:H1944"/>
    <mergeCell ref="A1319:B1319"/>
    <mergeCell ref="E545:F545"/>
    <mergeCell ref="A2082:B2082"/>
    <mergeCell ref="E88:F88"/>
    <mergeCell ref="E126:F126"/>
    <mergeCell ref="E82:F82"/>
    <mergeCell ref="E240:F240"/>
    <mergeCell ref="G1328:H1328"/>
    <mergeCell ref="A1777:B1777"/>
    <mergeCell ref="G1977:H1977"/>
    <mergeCell ref="E2026:F2026"/>
    <mergeCell ref="E845:F845"/>
    <mergeCell ref="G2091:H2091"/>
    <mergeCell ref="G6:H6"/>
    <mergeCell ref="E546:F546"/>
    <mergeCell ref="E540:F540"/>
    <mergeCell ref="A1466:B1466"/>
    <mergeCell ref="A1047:B1047"/>
    <mergeCell ref="A1161:B1161"/>
    <mergeCell ref="A1810:B1810"/>
    <mergeCell ref="A1766:B1766"/>
    <mergeCell ref="A1347:B1347"/>
    <mergeCell ref="A1461:B1461"/>
    <mergeCell ref="A45:B45"/>
    <mergeCell ref="A46:B46"/>
    <mergeCell ref="A105:B105"/>
    <mergeCell ref="A100:B100"/>
    <mergeCell ref="A705:B705"/>
    <mergeCell ref="A400:B400"/>
    <mergeCell ref="E18:F18"/>
    <mergeCell ref="A34:B34"/>
    <mergeCell ref="G1264:H1264"/>
    <mergeCell ref="A639:B639"/>
    <mergeCell ref="A797:B797"/>
    <mergeCell ref="G959:H959"/>
    <mergeCell ref="G1475:H1475"/>
    <mergeCell ref="A334:B334"/>
    <mergeCell ref="G1176:H1176"/>
    <mergeCell ref="A1097:B1097"/>
    <mergeCell ref="A1091:B1091"/>
    <mergeCell ref="A634:B634"/>
    <mergeCell ref="E1856:F1856"/>
    <mergeCell ref="A1308:B1308"/>
    <mergeCell ref="E1557:F1557"/>
    <mergeCell ref="G1649:H1649"/>
    <mergeCell ref="E77:F77"/>
    <mergeCell ref="E492:F492"/>
    <mergeCell ref="G1186:H1186"/>
    <mergeCell ref="G1644:H1644"/>
    <mergeCell ref="E72:F72"/>
    <mergeCell ref="A1019:B1019"/>
    <mergeCell ref="A994:B994"/>
    <mergeCell ref="G164:H164"/>
    <mergeCell ref="G931:H931"/>
    <mergeCell ref="E1623:F1623"/>
    <mergeCell ref="G626:H626"/>
    <mergeCell ref="E143:F143"/>
    <mergeCell ref="G1231:H1231"/>
    <mergeCell ref="A547:B547"/>
    <mergeCell ref="G1389:H1389"/>
    <mergeCell ref="G1383:H1383"/>
    <mergeCell ref="G59:H59"/>
    <mergeCell ref="E1187:F1187"/>
    <mergeCell ref="A595:B595"/>
    <mergeCell ref="G822:H822"/>
    <mergeCell ref="E1362:F1362"/>
    <mergeCell ref="G359:H359"/>
    <mergeCell ref="G911:H911"/>
    <mergeCell ref="G517:H517"/>
    <mergeCell ref="G1122:H1122"/>
    <mergeCell ref="A954:B954"/>
    <mergeCell ref="A655:B655"/>
    <mergeCell ref="G817:H817"/>
    <mergeCell ref="A192:B192"/>
    <mergeCell ref="E1503:F1503"/>
    <mergeCell ref="A955:B955"/>
    <mergeCell ref="A949:B949"/>
    <mergeCell ref="E1661:F1661"/>
    <mergeCell ref="E1198:F1198"/>
    <mergeCell ref="A650:B650"/>
    <mergeCell ref="G201:H201"/>
    <mergeCell ref="G964:H964"/>
    <mergeCell ref="E1504:F1504"/>
    <mergeCell ref="G659:H659"/>
    <mergeCell ref="G1175:H1175"/>
    <mergeCell ref="E1199:F1199"/>
    <mergeCell ref="G926:H926"/>
    <mergeCell ref="A758:B758"/>
    <mergeCell ref="A301:B301"/>
    <mergeCell ref="A847:B847"/>
    <mergeCell ref="G1226:H1226"/>
    <mergeCell ref="A1058:B1058"/>
    <mergeCell ref="G1384:H1384"/>
    <mergeCell ref="A2071:B2071"/>
    <mergeCell ref="A2065:B2065"/>
    <mergeCell ref="E71:F71"/>
    <mergeCell ref="A1608:B1608"/>
    <mergeCell ref="G778:H778"/>
    <mergeCell ref="E834:F834"/>
    <mergeCell ref="E371:F371"/>
    <mergeCell ref="G594:H594"/>
    <mergeCell ref="E1159:F1159"/>
    <mergeCell ref="E1134:F1134"/>
    <mergeCell ref="G137:H137"/>
    <mergeCell ref="E1922:F1922"/>
    <mergeCell ref="G925:H925"/>
    <mergeCell ref="E1459:F1459"/>
    <mergeCell ref="G489:H489"/>
    <mergeCell ref="A269:B269"/>
    <mergeCell ref="A2055:B2055"/>
    <mergeCell ref="G1225:H1225"/>
    <mergeCell ref="A1661:B1661"/>
    <mergeCell ref="E1759:F1759"/>
    <mergeCell ref="G522:H522"/>
    <mergeCell ref="E1056:F1056"/>
    <mergeCell ref="G1905:H1905"/>
    <mergeCell ref="E1961:F1961"/>
    <mergeCell ref="E1884:F1884"/>
    <mergeCell ref="G1949:H1949"/>
    <mergeCell ref="E1928:F1928"/>
    <mergeCell ref="E1923:F1923"/>
    <mergeCell ref="A601:B601"/>
    <mergeCell ref="A1216:B1216"/>
    <mergeCell ref="E1307:F1307"/>
    <mergeCell ref="A759:B759"/>
    <mergeCell ref="E32:F32"/>
    <mergeCell ref="E7:F7"/>
    <mergeCell ref="A1569:B1569"/>
    <mergeCell ref="G1883:H1883"/>
    <mergeCell ref="E332:F332"/>
    <mergeCell ref="E307:F307"/>
    <mergeCell ref="G1578:H1578"/>
    <mergeCell ref="A1385:B1385"/>
    <mergeCell ref="E1095:F1095"/>
    <mergeCell ref="G98:H98"/>
    <mergeCell ref="E632:F632"/>
    <mergeCell ref="E790:F790"/>
    <mergeCell ref="A1716:B1716"/>
    <mergeCell ref="G1878:H1878"/>
    <mergeCell ref="A2016:B2016"/>
    <mergeCell ref="G93:H93"/>
    <mergeCell ref="A2010:B2010"/>
    <mergeCell ref="E60:F60"/>
    <mergeCell ref="A1711:B1711"/>
    <mergeCell ref="G1938:H1938"/>
    <mergeCell ref="E806:F806"/>
    <mergeCell ref="E360:F360"/>
    <mergeCell ref="E1411:F1411"/>
    <mergeCell ref="A2011:B2011"/>
    <mergeCell ref="E1106:F1106"/>
    <mergeCell ref="G109:H109"/>
    <mergeCell ref="G295:H295"/>
    <mergeCell ref="A127:B127"/>
    <mergeCell ref="G453:H453"/>
    <mergeCell ref="G409:H409"/>
    <mergeCell ref="E376:F376"/>
    <mergeCell ref="A1913:B1913"/>
    <mergeCell ref="E2053:F2053"/>
    <mergeCell ref="G1056:H1056"/>
    <mergeCell ref="G1208:H1208"/>
    <mergeCell ref="E1748:F1748"/>
    <mergeCell ref="G751:H751"/>
    <mergeCell ref="A558:B558"/>
    <mergeCell ref="G1514:H1514"/>
    <mergeCell ref="E2048:F2048"/>
    <mergeCell ref="A889:B889"/>
    <mergeCell ref="G1051:H1051"/>
    <mergeCell ref="A883:B883"/>
    <mergeCell ref="G1209:H1209"/>
    <mergeCell ref="A1041:B1041"/>
    <mergeCell ref="A1515:B1515"/>
    <mergeCell ref="E1806:F1806"/>
    <mergeCell ref="A884:B884"/>
    <mergeCell ref="A1057:B1057"/>
    <mergeCell ref="G1436:H1436"/>
    <mergeCell ref="A1243:B1243"/>
    <mergeCell ref="A1357:B1357"/>
    <mergeCell ref="A938:B938"/>
    <mergeCell ref="G1736:H1736"/>
    <mergeCell ref="E1792:F1792"/>
    <mergeCell ref="A1244:B1244"/>
    <mergeCell ref="A1238:B1238"/>
    <mergeCell ref="E1465:F1465"/>
    <mergeCell ref="E1981:F1981"/>
    <mergeCell ref="G1399:H1399"/>
    <mergeCell ref="G1367:H1367"/>
    <mergeCell ref="E2049:F2049"/>
    <mergeCell ref="G2037:H2037"/>
    <mergeCell ref="G1874:H1874"/>
    <mergeCell ref="E1420:F1420"/>
    <mergeCell ref="E1395:F1395"/>
    <mergeCell ref="A230:B230"/>
    <mergeCell ref="G1066:H1066"/>
    <mergeCell ref="E1606:F1606"/>
    <mergeCell ref="G609:H609"/>
    <mergeCell ref="G1155:H1155"/>
    <mergeCell ref="A530:B530"/>
    <mergeCell ref="G1372:H1372"/>
    <mergeCell ref="A688:B688"/>
    <mergeCell ref="A1204:B1204"/>
    <mergeCell ref="A225:B225"/>
    <mergeCell ref="G1067:H1067"/>
    <mergeCell ref="E990:F990"/>
    <mergeCell ref="E1753:F1753"/>
    <mergeCell ref="G756:H756"/>
    <mergeCell ref="E1290:F1290"/>
    <mergeCell ref="E1448:F1448"/>
    <mergeCell ref="G451:H451"/>
    <mergeCell ref="E279:F279"/>
    <mergeCell ref="E437:F437"/>
    <mergeCell ref="G263:H263"/>
    <mergeCell ref="G394:H394"/>
    <mergeCell ref="E286:F286"/>
    <mergeCell ref="G497:H497"/>
    <mergeCell ref="A331:B331"/>
    <mergeCell ref="G1255:H1255"/>
    <mergeCell ref="G1567:H1567"/>
    <mergeCell ref="E1534:F1534"/>
    <mergeCell ref="A969:B969"/>
    <mergeCell ref="A1100:B1100"/>
    <mergeCell ref="E1546:F1546"/>
    <mergeCell ref="E2090:F2090"/>
    <mergeCell ref="G53:H53"/>
    <mergeCell ref="G28:H28"/>
    <mergeCell ref="A1646:B1646"/>
    <mergeCell ref="G239:H239"/>
    <mergeCell ref="E1356:F1356"/>
    <mergeCell ref="G353:H353"/>
    <mergeCell ref="A1857:B1857"/>
    <mergeCell ref="A160:B160"/>
    <mergeCell ref="E409:F409"/>
    <mergeCell ref="A377:B377"/>
    <mergeCell ref="A1946:B1946"/>
    <mergeCell ref="E626:F626"/>
    <mergeCell ref="A72:B72"/>
    <mergeCell ref="E321:F321"/>
    <mergeCell ref="A161:B161"/>
    <mergeCell ref="A1858:B1858"/>
    <mergeCell ref="G255:H255"/>
    <mergeCell ref="E926:F926"/>
    <mergeCell ref="G81:H81"/>
    <mergeCell ref="E621:F621"/>
    <mergeCell ref="G686:H686"/>
    <mergeCell ref="E1384:F1384"/>
    <mergeCell ref="A88:B88"/>
    <mergeCell ref="G387:H387"/>
    <mergeCell ref="G381:H381"/>
    <mergeCell ref="E921:F921"/>
    <mergeCell ref="A2005:B2005"/>
    <mergeCell ref="A1999:B1999"/>
    <mergeCell ref="A388:B388"/>
    <mergeCell ref="A519:B519"/>
    <mergeCell ref="A56:B56"/>
    <mergeCell ref="G2074:H2074"/>
    <mergeCell ref="A1906:B1906"/>
    <mergeCell ref="G1655:H1655"/>
    <mergeCell ref="G1775:H1775"/>
    <mergeCell ref="E1742:F1742"/>
    <mergeCell ref="G1769:H1769"/>
    <mergeCell ref="A1607:B1607"/>
    <mergeCell ref="A1144:B1144"/>
    <mergeCell ref="G1986:H1986"/>
    <mergeCell ref="G289:H289"/>
    <mergeCell ref="A1793:B1793"/>
    <mergeCell ref="A1907:B1907"/>
    <mergeCell ref="E2042:F2042"/>
    <mergeCell ref="A1488:B1488"/>
    <mergeCell ref="E539:F539"/>
    <mergeCell ref="G1802:H1802"/>
    <mergeCell ref="E257:F257"/>
    <mergeCell ref="A1788:B1788"/>
    <mergeCell ref="G305:H305"/>
    <mergeCell ref="A872:B872"/>
    <mergeCell ref="A1477:B1477"/>
    <mergeCell ref="A1635:B1635"/>
    <mergeCell ref="A1178:B1178"/>
    <mergeCell ref="A1172:B1172"/>
    <mergeCell ref="E882:F882"/>
    <mergeCell ref="E267:F267"/>
    <mergeCell ref="A1960:B1960"/>
    <mergeCell ref="A1935:B1935"/>
    <mergeCell ref="E425:F425"/>
    <mergeCell ref="E262:F262"/>
    <mergeCell ref="E1394:F1394"/>
    <mergeCell ref="G397:H397"/>
    <mergeCell ref="A17:B17"/>
    <mergeCell ref="A1079:B1079"/>
    <mergeCell ref="G1405:H1405"/>
    <mergeCell ref="A1237:B1237"/>
    <mergeCell ref="E1328:F1328"/>
    <mergeCell ref="A780:B780"/>
    <mergeCell ref="A774:B774"/>
    <mergeCell ref="E1486:F1486"/>
    <mergeCell ref="G1705:H1705"/>
    <mergeCell ref="E1240:F1240"/>
    <mergeCell ref="A1080:B1080"/>
    <mergeCell ref="E1786:F1786"/>
    <mergeCell ref="G1332:H1332"/>
    <mergeCell ref="E175:F175"/>
    <mergeCell ref="E1323:F1323"/>
    <mergeCell ref="E1997:F1997"/>
    <mergeCell ref="G1000:H1000"/>
    <mergeCell ref="G975:H975"/>
    <mergeCell ref="E1540:F1540"/>
    <mergeCell ref="G1632:H1632"/>
    <mergeCell ref="G1306:H1306"/>
    <mergeCell ref="G1721:H1721"/>
    <mergeCell ref="G1300:H1300"/>
    <mergeCell ref="G1327:H1327"/>
    <mergeCell ref="E1840:F1840"/>
    <mergeCell ref="E170:F170"/>
    <mergeCell ref="G1932:H1932"/>
    <mergeCell ref="A808:B808"/>
    <mergeCell ref="A1465:B1465"/>
    <mergeCell ref="A1133:B1133"/>
    <mergeCell ref="A1108:B1108"/>
    <mergeCell ref="A1765:B1765"/>
    <mergeCell ref="A638:B638"/>
    <mergeCell ref="A632:B632"/>
    <mergeCell ref="E1344:F1344"/>
    <mergeCell ref="G347:H347"/>
    <mergeCell ref="E1644:F1644"/>
    <mergeCell ref="G647:H647"/>
    <mergeCell ref="E1181:F1181"/>
    <mergeCell ref="G184:H184"/>
    <mergeCell ref="E1339:F1339"/>
    <mergeCell ref="G342:H342"/>
    <mergeCell ref="G1404:H1404"/>
    <mergeCell ref="E1944:F1944"/>
    <mergeCell ref="G947:H947"/>
    <mergeCell ref="A779:B779"/>
    <mergeCell ref="G1105:H1105"/>
    <mergeCell ref="E1645:F1645"/>
    <mergeCell ref="E1639:F1639"/>
    <mergeCell ref="G642:H642"/>
    <mergeCell ref="A1759:B1759"/>
    <mergeCell ref="G1474:H1474"/>
    <mergeCell ref="G1774:H1774"/>
    <mergeCell ref="G1355:H1355"/>
    <mergeCell ref="E223:F223"/>
    <mergeCell ref="G1469:H1469"/>
    <mergeCell ref="E828:F828"/>
    <mergeCell ref="A844:B844"/>
    <mergeCell ref="A214:B214"/>
    <mergeCell ref="E1552:F1552"/>
    <mergeCell ref="G555:H555"/>
    <mergeCell ref="E1306:F1306"/>
    <mergeCell ref="E1852:F1852"/>
    <mergeCell ref="G855:H855"/>
    <mergeCell ref="G2052:H2052"/>
    <mergeCell ref="E920:F920"/>
    <mergeCell ref="G1589:H1589"/>
    <mergeCell ref="E1089:F1089"/>
    <mergeCell ref="E59:F59"/>
    <mergeCell ref="A1727:B1727"/>
    <mergeCell ref="A57:B57"/>
    <mergeCell ref="A1422:B1422"/>
    <mergeCell ref="E359:F359"/>
    <mergeCell ref="E517:F517"/>
    <mergeCell ref="A2054:B2054"/>
    <mergeCell ref="E54:F54"/>
    <mergeCell ref="A1722:B1722"/>
    <mergeCell ref="E212:F212"/>
    <mergeCell ref="G277:H277"/>
    <mergeCell ref="E817:F817"/>
    <mergeCell ref="G2063:H2063"/>
    <mergeCell ref="E512:F512"/>
    <mergeCell ref="G577:H577"/>
    <mergeCell ref="E1117:F1117"/>
    <mergeCell ref="G120:H120"/>
    <mergeCell ref="G278:H278"/>
    <mergeCell ref="A110:B110"/>
    <mergeCell ref="A1896:B1896"/>
    <mergeCell ref="A1433:B1433"/>
    <mergeCell ref="G578:H578"/>
    <mergeCell ref="A410:B410"/>
    <mergeCell ref="E659:F659"/>
    <mergeCell ref="E870:F870"/>
    <mergeCell ref="G419:H419"/>
    <mergeCell ref="E959:F959"/>
    <mergeCell ref="G505:H505"/>
    <mergeCell ref="E93:F93"/>
    <mergeCell ref="A1040:B1040"/>
    <mergeCell ref="G185:H185"/>
    <mergeCell ref="E719:F719"/>
    <mergeCell ref="G1550:H1550"/>
    <mergeCell ref="E420:F420"/>
    <mergeCell ref="G1508:H1508"/>
    <mergeCell ref="A1340:B1340"/>
    <mergeCell ref="G1666:H1666"/>
    <mergeCell ref="A921:B921"/>
    <mergeCell ref="A2103:B2103"/>
    <mergeCell ref="E147:F147"/>
    <mergeCell ref="A610:B610"/>
    <mergeCell ref="G936:H936"/>
    <mergeCell ref="G1541:H1541"/>
    <mergeCell ref="G1261:H1261"/>
    <mergeCell ref="G1236:H1236"/>
    <mergeCell ref="E104:F104"/>
    <mergeCell ref="A1068:B1068"/>
    <mergeCell ref="E778:F778"/>
    <mergeCell ref="G2024:H2024"/>
    <mergeCell ref="G1561:H1561"/>
    <mergeCell ref="A1368:B1368"/>
    <mergeCell ref="A911:B911"/>
    <mergeCell ref="A1063:B1063"/>
    <mergeCell ref="G2019:H2019"/>
    <mergeCell ref="A1851:B1851"/>
    <mergeCell ref="E489:F489"/>
    <mergeCell ref="G1289:H1289"/>
    <mergeCell ref="E132:F132"/>
    <mergeCell ref="G1921:H1921"/>
    <mergeCell ref="G224:H224"/>
    <mergeCell ref="E1736:F1736"/>
    <mergeCell ref="E1431:F1431"/>
    <mergeCell ref="G434:H434"/>
    <mergeCell ref="A241:B241"/>
    <mergeCell ref="G1496:H1496"/>
    <mergeCell ref="E1520:F1520"/>
    <mergeCell ref="E2036:F2036"/>
    <mergeCell ref="A355:B355"/>
    <mergeCell ref="G1197:H1197"/>
    <mergeCell ref="A1029:B1029"/>
    <mergeCell ref="G1191:H1191"/>
    <mergeCell ref="E1889:F1889"/>
    <mergeCell ref="A236:B236"/>
    <mergeCell ref="A1329:B1329"/>
    <mergeCell ref="A1024:B1024"/>
    <mergeCell ref="E119:F119"/>
    <mergeCell ref="G1207:H1207"/>
    <mergeCell ref="E419:F419"/>
    <mergeCell ref="G1671:H1671"/>
    <mergeCell ref="G1665:H1665"/>
    <mergeCell ref="E789:F789"/>
    <mergeCell ref="A1210:B1210"/>
    <mergeCell ref="E1170:F1170"/>
    <mergeCell ref="G200:H200"/>
    <mergeCell ref="G719:H719"/>
    <mergeCell ref="E1259:F1259"/>
    <mergeCell ref="G805:H805"/>
    <mergeCell ref="A121:B121"/>
    <mergeCell ref="E1171:F1171"/>
    <mergeCell ref="G589:H589"/>
    <mergeCell ref="A421:B421"/>
    <mergeCell ref="E1186:F1186"/>
    <mergeCell ref="A1918:B1918"/>
    <mergeCell ref="E381:F381"/>
    <mergeCell ref="E76:F76"/>
    <mergeCell ref="G16:H16"/>
    <mergeCell ref="E251:F251"/>
    <mergeCell ref="G474:H474"/>
    <mergeCell ref="E1008:F1008"/>
    <mergeCell ref="G11:H11"/>
    <mergeCell ref="A2086:B2086"/>
    <mergeCell ref="E92:F92"/>
    <mergeCell ref="A1629:B1629"/>
    <mergeCell ref="G799:H799"/>
    <mergeCell ref="G1099:H1099"/>
    <mergeCell ref="E1066:F1066"/>
    <mergeCell ref="G69:H69"/>
    <mergeCell ref="A55:B55"/>
    <mergeCell ref="E304:F304"/>
    <mergeCell ref="G369:H369"/>
    <mergeCell ref="E393:F393"/>
    <mergeCell ref="G527:H527"/>
    <mergeCell ref="E1067:F1067"/>
    <mergeCell ref="A1987:B1987"/>
    <mergeCell ref="G64:H64"/>
    <mergeCell ref="G153:H153"/>
    <mergeCell ref="A202:B202"/>
    <mergeCell ref="G364:H364"/>
    <mergeCell ref="A1988:B1988"/>
    <mergeCell ref="A1982:B1982"/>
    <mergeCell ref="A502:B502"/>
    <mergeCell ref="E1077:F1077"/>
    <mergeCell ref="A197:B197"/>
    <mergeCell ref="G538:H538"/>
    <mergeCell ref="E53:F53"/>
    <mergeCell ref="A1590:B1590"/>
    <mergeCell ref="G1485:H1485"/>
    <mergeCell ref="E353:F353"/>
    <mergeCell ref="A1890:B1890"/>
    <mergeCell ref="G1599:H1599"/>
    <mergeCell ref="E48:F48"/>
    <mergeCell ref="G1785:H1785"/>
    <mergeCell ref="E653:F653"/>
    <mergeCell ref="G1486:H1486"/>
    <mergeCell ref="G1480:H1480"/>
    <mergeCell ref="A1318:B1318"/>
    <mergeCell ref="G1600:H1600"/>
    <mergeCell ref="A855:B855"/>
    <mergeCell ref="A1618:B1618"/>
    <mergeCell ref="A1155:B1155"/>
    <mergeCell ref="E1867:F1867"/>
    <mergeCell ref="A1313:B1313"/>
    <mergeCell ref="E250:F250"/>
    <mergeCell ref="E1078:F1078"/>
    <mergeCell ref="G669:H669"/>
    <mergeCell ref="E1209:F1209"/>
    <mergeCell ref="G1143:H1143"/>
    <mergeCell ref="G838:H838"/>
    <mergeCell ref="E1378:F1378"/>
    <mergeCell ref="A213:B213"/>
    <mergeCell ref="G1049:H1049"/>
    <mergeCell ref="G1601:H1601"/>
    <mergeCell ref="A976:B976"/>
    <mergeCell ref="A513:B513"/>
    <mergeCell ref="E1219:F1219"/>
    <mergeCell ref="A671:B671"/>
    <mergeCell ref="G2099:H2099"/>
    <mergeCell ref="G402:H402"/>
    <mergeCell ref="E942:F942"/>
    <mergeCell ref="G103:H103"/>
    <mergeCell ref="G619:H619"/>
    <mergeCell ref="A2020:B2020"/>
    <mergeCell ref="A409:B409"/>
    <mergeCell ref="A104:B104"/>
    <mergeCell ref="G403:H403"/>
    <mergeCell ref="A235:B235"/>
    <mergeCell ref="A2015:B2015"/>
    <mergeCell ref="A404:B404"/>
    <mergeCell ref="E1327:F1327"/>
    <mergeCell ref="G330:H330"/>
    <mergeCell ref="E1416:F1416"/>
    <mergeCell ref="G1087:H1087"/>
    <mergeCell ref="E1627:F1627"/>
    <mergeCell ref="G630:H630"/>
    <mergeCell ref="A138:B138"/>
    <mergeCell ref="G1393:H1393"/>
    <mergeCell ref="A132:B132"/>
    <mergeCell ref="E1927:F1927"/>
    <mergeCell ref="G930:H930"/>
    <mergeCell ref="G1088:H1088"/>
    <mergeCell ref="A920:B920"/>
    <mergeCell ref="E1011:F1011"/>
    <mergeCell ref="A463:B463"/>
    <mergeCell ref="G1388:H1388"/>
    <mergeCell ref="A763:B763"/>
    <mergeCell ref="E1469:F1469"/>
    <mergeCell ref="G472:H472"/>
    <mergeCell ref="E1006:F1006"/>
    <mergeCell ref="E2083:F2083"/>
    <mergeCell ref="G1061:H1061"/>
    <mergeCell ref="A893:B893"/>
    <mergeCell ref="E115:F115"/>
    <mergeCell ref="G1361:H1361"/>
    <mergeCell ref="A1193:B1193"/>
    <mergeCell ref="G2035:H2035"/>
    <mergeCell ref="E903:F903"/>
    <mergeCell ref="A888:B888"/>
    <mergeCell ref="A1404:B1404"/>
    <mergeCell ref="G1730:H1730"/>
    <mergeCell ref="G233:H233"/>
    <mergeCell ref="E200:F200"/>
    <mergeCell ref="E500:F500"/>
    <mergeCell ref="G1746:H1746"/>
    <mergeCell ref="G49:H49"/>
    <mergeCell ref="E1263:F1263"/>
    <mergeCell ref="G266:H266"/>
    <mergeCell ref="G260:H260"/>
    <mergeCell ref="E800:F800"/>
    <mergeCell ref="E958:F958"/>
    <mergeCell ref="G2046:H2046"/>
    <mergeCell ref="A1878:B1878"/>
    <mergeCell ref="E1258:F1258"/>
    <mergeCell ref="G261:H261"/>
    <mergeCell ref="A93:B93"/>
    <mergeCell ref="E184:F184"/>
    <mergeCell ref="A1721:B1721"/>
    <mergeCell ref="E342:F342"/>
    <mergeCell ref="A1879:B1879"/>
    <mergeCell ref="A1873:B1873"/>
    <mergeCell ref="E642:F642"/>
    <mergeCell ref="E2030:F2030"/>
    <mergeCell ref="A840:B840"/>
    <mergeCell ref="G1676:H1676"/>
    <mergeCell ref="E131:F131"/>
    <mergeCell ref="G1219:H1219"/>
    <mergeCell ref="E87:F87"/>
    <mergeCell ref="A1051:B1051"/>
    <mergeCell ref="A1209:B1209"/>
    <mergeCell ref="A752:B752"/>
    <mergeCell ref="G2007:H2007"/>
    <mergeCell ref="A746:B746"/>
    <mergeCell ref="G2001:H2001"/>
    <mergeCell ref="A1509:B1509"/>
    <mergeCell ref="A1052:B1052"/>
    <mergeCell ref="G1366:H1366"/>
    <mergeCell ref="A1834:B1834"/>
    <mergeCell ref="A1809:B1809"/>
    <mergeCell ref="G1888:H1888"/>
    <mergeCell ref="E337:F337"/>
    <mergeCell ref="E1769:F1769"/>
    <mergeCell ref="G772:H772"/>
    <mergeCell ref="G1446:H1446"/>
    <mergeCell ref="E1986:F1986"/>
    <mergeCell ref="G467:H467"/>
    <mergeCell ref="A1971:B1971"/>
    <mergeCell ref="G1072:H1072"/>
    <mergeCell ref="A904:B904"/>
    <mergeCell ref="A605:B605"/>
    <mergeCell ref="A186:B186"/>
    <mergeCell ref="E1366:F1366"/>
    <mergeCell ref="A905:B905"/>
    <mergeCell ref="A486:B486"/>
    <mergeCell ref="E2018:F2018"/>
    <mergeCell ref="G1021:H1021"/>
    <mergeCell ref="E1561:F1561"/>
    <mergeCell ref="E1256:F1256"/>
    <mergeCell ref="A66:B66"/>
    <mergeCell ref="G1321:H1321"/>
    <mergeCell ref="G1348:H1348"/>
    <mergeCell ref="E1861:F1861"/>
    <mergeCell ref="E1888:F1888"/>
    <mergeCell ref="G1479:H1479"/>
    <mergeCell ref="E2019:F2019"/>
    <mergeCell ref="A698:B698"/>
    <mergeCell ref="G1016:H1016"/>
    <mergeCell ref="A393:B393"/>
    <mergeCell ref="G1648:H1648"/>
    <mergeCell ref="A1154:B1154"/>
    <mergeCell ref="A1129:B1129"/>
    <mergeCell ref="A693:B693"/>
    <mergeCell ref="A1786:B1786"/>
    <mergeCell ref="A849:B849"/>
    <mergeCell ref="A1454:B1454"/>
    <mergeCell ref="A1481:B1481"/>
    <mergeCell ref="E1616:F1616"/>
    <mergeCell ref="G1376:H1376"/>
    <mergeCell ref="E1941:F1941"/>
    <mergeCell ref="A1781:B1781"/>
    <mergeCell ref="E1916:F1916"/>
    <mergeCell ref="A751:B751"/>
    <mergeCell ref="G1157:H1157"/>
    <mergeCell ref="G1132:H1132"/>
    <mergeCell ref="G1457:H1457"/>
    <mergeCell ref="G1432:H1432"/>
    <mergeCell ref="A354:B354"/>
    <mergeCell ref="G249:H249"/>
    <mergeCell ref="A654:B654"/>
    <mergeCell ref="G205:H205"/>
    <mergeCell ref="G363:H363"/>
    <mergeCell ref="E1965:F1965"/>
    <mergeCell ref="G968:H968"/>
    <mergeCell ref="G549:H549"/>
    <mergeCell ref="E1666:F1666"/>
    <mergeCell ref="G663:H663"/>
    <mergeCell ref="E1203:F1203"/>
    <mergeCell ref="G1337:H1337"/>
    <mergeCell ref="A38:B38"/>
    <mergeCell ref="G1312:H1312"/>
    <mergeCell ref="E1877:F1877"/>
    <mergeCell ref="G880:H880"/>
    <mergeCell ref="G874:H874"/>
    <mergeCell ref="A801:B801"/>
    <mergeCell ref="G963:H963"/>
    <mergeCell ref="A382:B382"/>
    <mergeCell ref="A338:B338"/>
    <mergeCell ref="G664:H664"/>
    <mergeCell ref="G1180:H1180"/>
    <mergeCell ref="E1261:F1261"/>
    <mergeCell ref="A1101:B1101"/>
    <mergeCell ref="E1236:F1236"/>
    <mergeCell ref="A707:B707"/>
    <mergeCell ref="A682:B682"/>
    <mergeCell ref="A959:B959"/>
    <mergeCell ref="E669:F669"/>
    <mergeCell ref="G1757:H1757"/>
    <mergeCell ref="G1915:H1915"/>
    <mergeCell ref="E65:F65"/>
    <mergeCell ref="G1311:H1311"/>
    <mergeCell ref="G1305:H1305"/>
    <mergeCell ref="A1775:B1775"/>
    <mergeCell ref="G1937:H1937"/>
    <mergeCell ref="A1443:B1443"/>
    <mergeCell ref="A2075:B2075"/>
    <mergeCell ref="E75:F75"/>
    <mergeCell ref="A1612:B1612"/>
    <mergeCell ref="A1743:B1743"/>
    <mergeCell ref="E233:F233"/>
    <mergeCell ref="A1770:B1770"/>
    <mergeCell ref="E838:F838"/>
    <mergeCell ref="G2084:H2084"/>
    <mergeCell ref="E533:F533"/>
    <mergeCell ref="A2070:B2070"/>
    <mergeCell ref="E744:F744"/>
    <mergeCell ref="E1296:F1296"/>
    <mergeCell ref="G299:H299"/>
    <mergeCell ref="G293:H293"/>
    <mergeCell ref="E833:F833"/>
    <mergeCell ref="E1050:F1050"/>
    <mergeCell ref="E1596:F1596"/>
    <mergeCell ref="G599:H599"/>
    <mergeCell ref="E1164:F1164"/>
    <mergeCell ref="A1665:B1665"/>
    <mergeCell ref="A1754:B1754"/>
    <mergeCell ref="E891:F891"/>
    <mergeCell ref="E1191:F1191"/>
    <mergeCell ref="G221:H221"/>
    <mergeCell ref="E886:F886"/>
    <mergeCell ref="G521:H521"/>
    <mergeCell ref="G1898:H1898"/>
    <mergeCell ref="E1954:F1954"/>
    <mergeCell ref="A943:B943"/>
    <mergeCell ref="E11:F11"/>
    <mergeCell ref="E169:F169"/>
    <mergeCell ref="G1257:H1257"/>
    <mergeCell ref="G1282:H1282"/>
    <mergeCell ref="G1626:H1626"/>
    <mergeCell ref="A2031:B2031"/>
    <mergeCell ref="E469:F469"/>
    <mergeCell ref="G1582:H1582"/>
    <mergeCell ref="G1163:H1163"/>
    <mergeCell ref="A1090:B1090"/>
    <mergeCell ref="A1084:B1084"/>
    <mergeCell ref="G1926:H1926"/>
    <mergeCell ref="A627:B627"/>
    <mergeCell ref="G1882:H1882"/>
    <mergeCell ref="E1849:F1849"/>
    <mergeCell ref="A1301:B1301"/>
    <mergeCell ref="A1415:B1415"/>
    <mergeCell ref="A996:B996"/>
    <mergeCell ref="G97:H97"/>
    <mergeCell ref="E64:F64"/>
    <mergeCell ref="A1601:B1601"/>
    <mergeCell ref="G1310:H1310"/>
    <mergeCell ref="A1715:B1715"/>
    <mergeCell ref="E153:F153"/>
    <mergeCell ref="E1850:F1850"/>
    <mergeCell ref="G1942:H1942"/>
    <mergeCell ref="E364:F364"/>
    <mergeCell ref="G1610:H1610"/>
    <mergeCell ref="G1637:H1637"/>
    <mergeCell ref="A1045:B1045"/>
    <mergeCell ref="E1180:F1180"/>
    <mergeCell ref="A588:B588"/>
    <mergeCell ref="E1349:F1349"/>
    <mergeCell ref="E1480:F1480"/>
    <mergeCell ref="A932:B932"/>
    <mergeCell ref="G510:H510"/>
    <mergeCell ref="G1115:H1115"/>
    <mergeCell ref="E1805:F1805"/>
    <mergeCell ref="G810:H810"/>
    <mergeCell ref="A615:B615"/>
    <mergeCell ref="G1529:H1529"/>
    <mergeCell ref="A948:B948"/>
    <mergeCell ref="G1110:H1110"/>
    <mergeCell ref="A942:B942"/>
    <mergeCell ref="A485:B485"/>
    <mergeCell ref="A643:B643"/>
    <mergeCell ref="E1192:F1192"/>
    <mergeCell ref="A659:B659"/>
    <mergeCell ref="G821:H821"/>
    <mergeCell ref="A653:B653"/>
    <mergeCell ref="A1265:B1265"/>
    <mergeCell ref="A1259:B1259"/>
    <mergeCell ref="A802:B802"/>
    <mergeCell ref="G1185:H1185"/>
    <mergeCell ref="E1436:F1436"/>
    <mergeCell ref="A882:B882"/>
    <mergeCell ref="A1434:B1434"/>
    <mergeCell ref="E1131:F1131"/>
    <mergeCell ref="A971:B971"/>
    <mergeCell ref="G1196:H1196"/>
    <mergeCell ref="E1220:F1220"/>
    <mergeCell ref="A2009:B2009"/>
    <mergeCell ref="G86:H86"/>
    <mergeCell ref="A2003:B2003"/>
    <mergeCell ref="A1704:B1704"/>
    <mergeCell ref="A523:B523"/>
    <mergeCell ref="E1098:F1098"/>
    <mergeCell ref="A87:B87"/>
    <mergeCell ref="A1915:B1915"/>
    <mergeCell ref="A218:B218"/>
    <mergeCell ref="A2004:B2004"/>
    <mergeCell ref="G559:H559"/>
    <mergeCell ref="E794:F794"/>
    <mergeCell ref="E1399:F1399"/>
    <mergeCell ref="A234:B234"/>
    <mergeCell ref="G560:H560"/>
    <mergeCell ref="G771:H771"/>
    <mergeCell ref="A115:B115"/>
    <mergeCell ref="A229:B229"/>
    <mergeCell ref="G1071:H1071"/>
    <mergeCell ref="A903:B903"/>
    <mergeCell ref="E1152:F1152"/>
    <mergeCell ref="G155:H155"/>
    <mergeCell ref="G130:H130"/>
    <mergeCell ref="E1452:F1452"/>
    <mergeCell ref="G455:H455"/>
    <mergeCell ref="G430:H430"/>
    <mergeCell ref="G1218:H1218"/>
    <mergeCell ref="G1212:H1212"/>
    <mergeCell ref="E1752:F1752"/>
    <mergeCell ref="G755:H755"/>
    <mergeCell ref="E1910:F1910"/>
    <mergeCell ref="G913:H913"/>
    <mergeCell ref="E2046:F2046"/>
    <mergeCell ref="A1492:B1492"/>
    <mergeCell ref="E1741:F1741"/>
    <mergeCell ref="G1507:H1507"/>
    <mergeCell ref="G1501:H1501"/>
    <mergeCell ref="E2041:F2041"/>
    <mergeCell ref="G1044:H1044"/>
    <mergeCell ref="A876:B876"/>
    <mergeCell ref="G1832:H1832"/>
    <mergeCell ref="A1334:B1334"/>
    <mergeCell ref="A877:B877"/>
    <mergeCell ref="E2099:F2099"/>
    <mergeCell ref="A1939:B1939"/>
    <mergeCell ref="E429:F429"/>
    <mergeCell ref="E97:F97"/>
    <mergeCell ref="A1634:B1634"/>
    <mergeCell ref="E729:F729"/>
    <mergeCell ref="E272:F272"/>
    <mergeCell ref="E2094:F2094"/>
    <mergeCell ref="E424:F424"/>
    <mergeCell ref="G1729:H1729"/>
    <mergeCell ref="A1561:B1561"/>
    <mergeCell ref="G1860:H1860"/>
    <mergeCell ref="E724:F724"/>
    <mergeCell ref="A1650:B1650"/>
    <mergeCell ref="G1555:H1555"/>
    <mergeCell ref="A1867:B1867"/>
    <mergeCell ref="G2029:H2029"/>
    <mergeCell ref="A1345:B1345"/>
    <mergeCell ref="A1861:B1861"/>
    <mergeCell ref="A2019:B2019"/>
    <mergeCell ref="A1562:B1562"/>
    <mergeCell ref="A1992:B1992"/>
    <mergeCell ref="G674:H674"/>
    <mergeCell ref="A49:B49"/>
    <mergeCell ref="A207:B207"/>
    <mergeCell ref="E2002:F2002"/>
    <mergeCell ref="G1005:H1005"/>
    <mergeCell ref="A1:K1"/>
    <mergeCell ref="A812:B812"/>
    <mergeCell ref="E1387:F1387"/>
    <mergeCell ref="A507:B507"/>
    <mergeCell ref="A807:B807"/>
    <mergeCell ref="G1059:H1059"/>
    <mergeCell ref="E1730:F1730"/>
    <mergeCell ref="G1664:H1664"/>
    <mergeCell ref="G1778:H1778"/>
    <mergeCell ref="G1359:H1359"/>
    <mergeCell ref="G1060:H1060"/>
    <mergeCell ref="A1497:B1497"/>
    <mergeCell ref="A518:B518"/>
    <mergeCell ref="G1360:H1360"/>
    <mergeCell ref="A1192:B1192"/>
    <mergeCell ref="E1441:F1441"/>
    <mergeCell ref="A1797:B1797"/>
    <mergeCell ref="A76:B76"/>
    <mergeCell ref="E325:F325"/>
    <mergeCell ref="A1862:B1862"/>
    <mergeCell ref="E414:F414"/>
    <mergeCell ref="E1088:F1088"/>
    <mergeCell ref="G91:H91"/>
    <mergeCell ref="G85:H85"/>
    <mergeCell ref="E625:F625"/>
    <mergeCell ref="G1871:H1871"/>
    <mergeCell ref="G2067:H2067"/>
    <mergeCell ref="E516:F516"/>
    <mergeCell ref="A1600:B1600"/>
    <mergeCell ref="G1762:H1762"/>
    <mergeCell ref="E1279:F1279"/>
    <mergeCell ref="G282:H282"/>
    <mergeCell ref="A114:B114"/>
    <mergeCell ref="E974:F974"/>
    <mergeCell ref="A1900:B1900"/>
    <mergeCell ref="A1894:B1894"/>
    <mergeCell ref="A1437:B1437"/>
    <mergeCell ref="A1595:B1595"/>
    <mergeCell ref="A2111:B2111"/>
    <mergeCell ref="E663:F663"/>
    <mergeCell ref="E244:F244"/>
    <mergeCell ref="G1909:H1909"/>
    <mergeCell ref="E358:F358"/>
    <mergeCell ref="A1895:B1895"/>
    <mergeCell ref="A865:B865"/>
    <mergeCell ref="E963:F963"/>
    <mergeCell ref="E544:F544"/>
    <mergeCell ref="E658:F658"/>
    <mergeCell ref="A1165:B1165"/>
    <mergeCell ref="G335:H335"/>
    <mergeCell ref="E875:F875"/>
    <mergeCell ref="E1348:F1348"/>
    <mergeCell ref="A1948:B1948"/>
    <mergeCell ref="G351:H351"/>
    <mergeCell ref="A337:B337"/>
    <mergeCell ref="E1648:F1648"/>
    <mergeCell ref="G651:H651"/>
    <mergeCell ref="E1343:F1343"/>
    <mergeCell ref="G2056:H2056"/>
    <mergeCell ref="G1593:H1593"/>
    <mergeCell ref="A915:B915"/>
    <mergeCell ref="A909:B909"/>
    <mergeCell ref="A1425:B1425"/>
    <mergeCell ref="G1751:H1751"/>
    <mergeCell ref="G1294:H1294"/>
    <mergeCell ref="A1126:B1126"/>
    <mergeCell ref="A1215:B1215"/>
    <mergeCell ref="A1731:B1731"/>
    <mergeCell ref="E221:F221"/>
    <mergeCell ref="A1426:B1426"/>
    <mergeCell ref="E521:F521"/>
    <mergeCell ref="G1767:H1767"/>
    <mergeCell ref="E610:F610"/>
    <mergeCell ref="A1726:B1726"/>
    <mergeCell ref="E216:F216"/>
    <mergeCell ref="G1462:H1462"/>
    <mergeCell ref="G281:H281"/>
    <mergeCell ref="E821:F821"/>
    <mergeCell ref="E979:F979"/>
    <mergeCell ref="G346:H346"/>
    <mergeCell ref="A1981:B1981"/>
    <mergeCell ref="G1109:H1109"/>
    <mergeCell ref="A364:B364"/>
    <mergeCell ref="E1643:F1643"/>
    <mergeCell ref="A484:B484"/>
    <mergeCell ref="G646:H646"/>
    <mergeCell ref="G1409:H1409"/>
    <mergeCell ref="A784:B784"/>
    <mergeCell ref="E1027:F1027"/>
    <mergeCell ref="A479:B479"/>
    <mergeCell ref="E124:F124"/>
    <mergeCell ref="G924:H924"/>
    <mergeCell ref="A299:B299"/>
    <mergeCell ref="A293:B293"/>
    <mergeCell ref="E1637:F1637"/>
    <mergeCell ref="A599:B599"/>
    <mergeCell ref="E1174:F1174"/>
    <mergeCell ref="E1332:F1332"/>
    <mergeCell ref="E151:F151"/>
    <mergeCell ref="G1397:H1397"/>
    <mergeCell ref="E1937:F1937"/>
    <mergeCell ref="G940:H940"/>
    <mergeCell ref="G635:H635"/>
    <mergeCell ref="E152:F152"/>
    <mergeCell ref="A1072:B1072"/>
    <mergeCell ref="A773:B773"/>
    <mergeCell ref="G2028:H2028"/>
    <mergeCell ref="A767:B767"/>
    <mergeCell ref="G1609:H1609"/>
    <mergeCell ref="G1723:H1723"/>
    <mergeCell ref="A1530:B1530"/>
    <mergeCell ref="A1073:B1073"/>
    <mergeCell ref="E1316:F1316"/>
    <mergeCell ref="A768:B768"/>
    <mergeCell ref="G2023:H2023"/>
    <mergeCell ref="E1990:F1990"/>
    <mergeCell ref="A1830:B1830"/>
    <mergeCell ref="G993:H993"/>
    <mergeCell ref="G1082:H1082"/>
    <mergeCell ref="G1293:H1293"/>
    <mergeCell ref="A153:B153"/>
    <mergeCell ref="E614:F614"/>
    <mergeCell ref="E1898:F1898"/>
    <mergeCell ref="G901:H901"/>
    <mergeCell ref="A403:B403"/>
    <mergeCell ref="G1201:H1201"/>
    <mergeCell ref="E1893:F1893"/>
    <mergeCell ref="G896:H896"/>
    <mergeCell ref="A728:B728"/>
    <mergeCell ref="A703:B703"/>
    <mergeCell ref="E977:F977"/>
    <mergeCell ref="A1028:B1028"/>
    <mergeCell ref="E1277:F1277"/>
    <mergeCell ref="E1926:F1926"/>
    <mergeCell ref="E1882:F1882"/>
    <mergeCell ref="E1909:F1909"/>
    <mergeCell ref="G493:H493"/>
    <mergeCell ref="A298:B298"/>
    <mergeCell ref="E1621:F1621"/>
    <mergeCell ref="G624:H624"/>
    <mergeCell ref="E1577:F1577"/>
    <mergeCell ref="G1675:H1675"/>
    <mergeCell ref="A414:B414"/>
    <mergeCell ref="G1229:H1229"/>
    <mergeCell ref="E1676:F1676"/>
    <mergeCell ref="A665:B665"/>
    <mergeCell ref="G380:H380"/>
    <mergeCell ref="E1371:F1371"/>
    <mergeCell ref="G374:H374"/>
    <mergeCell ref="E914:F914"/>
    <mergeCell ref="G385:H385"/>
    <mergeCell ref="E1083:F1083"/>
    <mergeCell ref="A745:B745"/>
    <mergeCell ref="G1213:H1213"/>
    <mergeCell ref="G1958:H1958"/>
    <mergeCell ref="A1375:B1375"/>
    <mergeCell ref="A1491:B1491"/>
    <mergeCell ref="E81:F81"/>
    <mergeCell ref="G1843:H1843"/>
    <mergeCell ref="G173:H173"/>
    <mergeCell ref="A1159:B1159"/>
    <mergeCell ref="A1764:B1764"/>
    <mergeCell ref="A1791:B1791"/>
    <mergeCell ref="G473:H473"/>
    <mergeCell ref="A1459:B1459"/>
    <mergeCell ref="E440:F440"/>
    <mergeCell ref="A1545:B1545"/>
    <mergeCell ref="A2091:B2091"/>
    <mergeCell ref="A6:B6"/>
    <mergeCell ref="E771:F771"/>
    <mergeCell ref="E765:F765"/>
    <mergeCell ref="G1554:H1554"/>
    <mergeCell ref="A1361:B1361"/>
    <mergeCell ref="E1071:F1071"/>
    <mergeCell ref="G74:H74"/>
    <mergeCell ref="E766:F766"/>
    <mergeCell ref="G1854:H1854"/>
    <mergeCell ref="A1686:B1686"/>
    <mergeCell ref="G2012:H2012"/>
    <mergeCell ref="A1844:B1844"/>
    <mergeCell ref="A1687:B1687"/>
    <mergeCell ref="G242:H242"/>
    <mergeCell ref="E913:F913"/>
    <mergeCell ref="E907:F907"/>
    <mergeCell ref="G542:H542"/>
    <mergeCell ref="E1082:F1082"/>
    <mergeCell ref="A343:B343"/>
    <mergeCell ref="A859:B859"/>
    <mergeCell ref="A1017:B1017"/>
    <mergeCell ref="A560:B560"/>
    <mergeCell ref="A1622:B1622"/>
    <mergeCell ref="A1780:B1780"/>
    <mergeCell ref="E1871:F1871"/>
    <mergeCell ref="A1317:B1317"/>
    <mergeCell ref="E1566:F1566"/>
    <mergeCell ref="E385:F385"/>
    <mergeCell ref="G1631:H1631"/>
    <mergeCell ref="G1658:H1658"/>
    <mergeCell ref="E86:F86"/>
    <mergeCell ref="E80:F80"/>
    <mergeCell ref="A1617:B1617"/>
    <mergeCell ref="G1326:H1326"/>
    <mergeCell ref="E1866:F1866"/>
    <mergeCell ref="G1543:H1543"/>
    <mergeCell ref="E1213:F1213"/>
    <mergeCell ref="G237:H237"/>
    <mergeCell ref="E908:F908"/>
    <mergeCell ref="G543:H543"/>
    <mergeCell ref="A375:B375"/>
    <mergeCell ref="E510:F510"/>
    <mergeCell ref="E1208:F1208"/>
    <mergeCell ref="G754:H754"/>
    <mergeCell ref="A675:B675"/>
    <mergeCell ref="E810:F810"/>
    <mergeCell ref="G570:H570"/>
    <mergeCell ref="A975:B975"/>
    <mergeCell ref="E1110:F1110"/>
    <mergeCell ref="G113:H113"/>
    <mergeCell ref="G29:H29"/>
    <mergeCell ref="G792:H792"/>
    <mergeCell ref="G1092:H1092"/>
    <mergeCell ref="A1659:B1659"/>
    <mergeCell ref="E1173:F1173"/>
    <mergeCell ref="G176:H176"/>
    <mergeCell ref="A162:B162"/>
    <mergeCell ref="E1359:F1359"/>
    <mergeCell ref="E1517:F1517"/>
    <mergeCell ref="E1473:F1473"/>
    <mergeCell ref="A925:B925"/>
    <mergeCell ref="G476:H476"/>
    <mergeCell ref="E1054:F1054"/>
    <mergeCell ref="G57:H57"/>
    <mergeCell ref="G171:H171"/>
    <mergeCell ref="G820:H820"/>
    <mergeCell ref="E1773:F1773"/>
    <mergeCell ref="G776:H776"/>
    <mergeCell ref="E1354:F1354"/>
    <mergeCell ref="A195:B195"/>
    <mergeCell ref="G357:H357"/>
    <mergeCell ref="A309:B309"/>
    <mergeCell ref="G58:H58"/>
    <mergeCell ref="G471:H471"/>
    <mergeCell ref="G1120:H1120"/>
    <mergeCell ref="A495:B495"/>
    <mergeCell ref="A609:B609"/>
    <mergeCell ref="A190:B190"/>
    <mergeCell ref="E1501:F1501"/>
    <mergeCell ref="A953:B953"/>
    <mergeCell ref="G531:H531"/>
    <mergeCell ref="A490:B490"/>
    <mergeCell ref="E41:F41"/>
    <mergeCell ref="E690:F690"/>
    <mergeCell ref="G106:H106"/>
    <mergeCell ref="E646:F646"/>
    <mergeCell ref="E804:F804"/>
    <mergeCell ref="G1892:H1892"/>
    <mergeCell ref="E341:F341"/>
    <mergeCell ref="G2109:H2109"/>
    <mergeCell ref="G1587:H1587"/>
    <mergeCell ref="G2103:H2103"/>
    <mergeCell ref="E1104:F1104"/>
    <mergeCell ref="G107:H107"/>
    <mergeCell ref="A1611:B1611"/>
    <mergeCell ref="A1725:B1725"/>
    <mergeCell ref="A108:B108"/>
    <mergeCell ref="G2104:H2104"/>
    <mergeCell ref="A1936:B1936"/>
    <mergeCell ref="E374:F374"/>
    <mergeCell ref="A1911:B1911"/>
    <mergeCell ref="A2025:B2025"/>
    <mergeCell ref="E674:F674"/>
    <mergeCell ref="E1026:F1026"/>
    <mergeCell ref="A1975:B1975"/>
    <mergeCell ref="E1065:F1065"/>
    <mergeCell ref="E1196:F1196"/>
    <mergeCell ref="G831:H831"/>
    <mergeCell ref="G1156:H1156"/>
    <mergeCell ref="A963:B963"/>
    <mergeCell ref="A664:B664"/>
    <mergeCell ref="A875:B875"/>
    <mergeCell ref="A964:B964"/>
    <mergeCell ref="A1175:B1175"/>
    <mergeCell ref="A892:B892"/>
    <mergeCell ref="G1734:H1734"/>
    <mergeCell ref="A1109:B1109"/>
    <mergeCell ref="A1655:B1655"/>
    <mergeCell ref="A1409:B1409"/>
    <mergeCell ref="E1984:F1984"/>
    <mergeCell ref="E2115:F2115"/>
    <mergeCell ref="G122:H122"/>
    <mergeCell ref="G1750:H1750"/>
    <mergeCell ref="G1445:H1445"/>
    <mergeCell ref="E288:F288"/>
    <mergeCell ref="E2116:F2116"/>
    <mergeCell ref="A2040:B2040"/>
    <mergeCell ref="E46:F46"/>
    <mergeCell ref="A1583:B1583"/>
    <mergeCell ref="E346:F346"/>
    <mergeCell ref="A1883:B1883"/>
    <mergeCell ref="A2035:B2035"/>
    <mergeCell ref="A1289:B1289"/>
    <mergeCell ref="E1424:F1424"/>
    <mergeCell ref="G1489:H1489"/>
    <mergeCell ref="E2029:F2029"/>
    <mergeCell ref="G1647:H1647"/>
    <mergeCell ref="G1190:H1190"/>
    <mergeCell ref="E58:F58"/>
    <mergeCell ref="G1184:H1184"/>
    <mergeCell ref="E1724:F1724"/>
    <mergeCell ref="G727:H727"/>
    <mergeCell ref="A559:B559"/>
    <mergeCell ref="G1947:H1947"/>
    <mergeCell ref="A1322:B1322"/>
    <mergeCell ref="G1484:H1484"/>
    <mergeCell ref="A70:B70"/>
    <mergeCell ref="A228:B228"/>
    <mergeCell ref="E2023:F2023"/>
    <mergeCell ref="G1026:H1026"/>
    <mergeCell ref="G1020:H1020"/>
    <mergeCell ref="E1718:F1718"/>
    <mergeCell ref="A397:B397"/>
    <mergeCell ref="G721:H721"/>
    <mergeCell ref="A528:B528"/>
    <mergeCell ref="G1353:H1353"/>
    <mergeCell ref="G907:H907"/>
    <mergeCell ref="E1320:F1320"/>
    <mergeCell ref="A828:B828"/>
    <mergeCell ref="G1080:H1080"/>
    <mergeCell ref="E1620:F1620"/>
    <mergeCell ref="E1751:F1751"/>
    <mergeCell ref="G1169:H1169"/>
    <mergeCell ref="A740:B740"/>
    <mergeCell ref="E1315:F1315"/>
    <mergeCell ref="G318:H318"/>
    <mergeCell ref="G1380:H1380"/>
    <mergeCell ref="E1920:F1920"/>
    <mergeCell ref="G923:H923"/>
    <mergeCell ref="G1081:H1081"/>
    <mergeCell ref="A913:B913"/>
    <mergeCell ref="A539:B539"/>
    <mergeCell ref="G1381:H1381"/>
    <mergeCell ref="A1213:B1213"/>
    <mergeCell ref="A756:B756"/>
    <mergeCell ref="A750:B750"/>
    <mergeCell ref="E1462:F1462"/>
    <mergeCell ref="A908:B908"/>
    <mergeCell ref="E133:F133"/>
    <mergeCell ref="E108:F108"/>
    <mergeCell ref="A1186:B1186"/>
    <mergeCell ref="G356:H356"/>
    <mergeCell ref="E896:F896"/>
    <mergeCell ref="G51:H51"/>
    <mergeCell ref="E591:F591"/>
    <mergeCell ref="G226:H226"/>
    <mergeCell ref="A1855:B1855"/>
    <mergeCell ref="A1969:B1969"/>
    <mergeCell ref="A358:B358"/>
    <mergeCell ref="E188:F188"/>
    <mergeCell ref="G253:H253"/>
    <mergeCell ref="A658:B658"/>
    <mergeCell ref="E1370:F1370"/>
    <mergeCell ref="E924:F924"/>
    <mergeCell ref="A1871:B1871"/>
    <mergeCell ref="A385:B385"/>
    <mergeCell ref="G254:H254"/>
    <mergeCell ref="E1207:F1207"/>
    <mergeCell ref="A86:B86"/>
    <mergeCell ref="G248:H248"/>
    <mergeCell ref="A1866:B1866"/>
    <mergeCell ref="A386:B386"/>
    <mergeCell ref="E635:F635"/>
    <mergeCell ref="A81:B81"/>
    <mergeCell ref="A686:B686"/>
    <mergeCell ref="E1392:F1392"/>
    <mergeCell ref="G395:H395"/>
    <mergeCell ref="E960:F960"/>
    <mergeCell ref="E935:F935"/>
    <mergeCell ref="E1723:F1723"/>
    <mergeCell ref="E237:F237"/>
    <mergeCell ref="E1934:F1934"/>
    <mergeCell ref="A1905:B1905"/>
    <mergeCell ref="G1483:H1483"/>
    <mergeCell ref="A1442:B1442"/>
    <mergeCell ref="G1669:H1669"/>
    <mergeCell ref="E537:F537"/>
    <mergeCell ref="E238:F238"/>
    <mergeCell ref="G2000:H2000"/>
    <mergeCell ref="G303:H303"/>
    <mergeCell ref="A739:B739"/>
    <mergeCell ref="G1994:H1994"/>
    <mergeCell ref="A1458:B1458"/>
    <mergeCell ref="A1039:B1039"/>
    <mergeCell ref="A1827:B1827"/>
    <mergeCell ref="E265:F265"/>
    <mergeCell ref="E2076:F2076"/>
    <mergeCell ref="E565:F565"/>
    <mergeCell ref="A2013:B2013"/>
    <mergeCell ref="G726:H726"/>
    <mergeCell ref="E1260:F1260"/>
    <mergeCell ref="A1513:B1513"/>
    <mergeCell ref="E1762:F1762"/>
    <mergeCell ref="A1208:B1208"/>
    <mergeCell ref="E1973:F1973"/>
    <mergeCell ref="G460:H460"/>
    <mergeCell ref="G1522:H1522"/>
    <mergeCell ref="E2062:F2062"/>
    <mergeCell ref="G1065:H1065"/>
    <mergeCell ref="A897:B897"/>
    <mergeCell ref="G1739:H1739"/>
    <mergeCell ref="G1434:H1434"/>
    <mergeCell ref="A15:B15"/>
    <mergeCell ref="A620:B620"/>
    <mergeCell ref="A647:B647"/>
    <mergeCell ref="A778:B778"/>
    <mergeCell ref="E1353:F1353"/>
    <mergeCell ref="E1869:F1869"/>
    <mergeCell ref="A315:B315"/>
    <mergeCell ref="A947:B947"/>
    <mergeCell ref="E1653:F1653"/>
    <mergeCell ref="G656:H656"/>
    <mergeCell ref="G1330:H1330"/>
    <mergeCell ref="A1735:B1735"/>
    <mergeCell ref="E173:F173"/>
    <mergeCell ref="E1870:F1870"/>
    <mergeCell ref="E1864:F1864"/>
    <mergeCell ref="G867:H867"/>
    <mergeCell ref="E1953:F1953"/>
    <mergeCell ref="G956:H956"/>
    <mergeCell ref="A788:B788"/>
    <mergeCell ref="G1630:H1630"/>
    <mergeCell ref="G1173:H1173"/>
    <mergeCell ref="A489:B489"/>
    <mergeCell ref="A1005:B1005"/>
    <mergeCell ref="G1167:H1167"/>
    <mergeCell ref="G1325:H1325"/>
    <mergeCell ref="E168:F168"/>
    <mergeCell ref="A1094:B1094"/>
    <mergeCell ref="A700:B700"/>
    <mergeCell ref="G1930:H1930"/>
    <mergeCell ref="A789:B789"/>
    <mergeCell ref="A1305:B1305"/>
    <mergeCell ref="E1554:F1554"/>
    <mergeCell ref="A2116:B2116"/>
    <mergeCell ref="G1217:H1217"/>
    <mergeCell ref="E1184:F1184"/>
    <mergeCell ref="A636:B636"/>
    <mergeCell ref="G187:H187"/>
    <mergeCell ref="E879:F879"/>
    <mergeCell ref="G819:H819"/>
    <mergeCell ref="E422:F422"/>
    <mergeCell ref="E1484:F1484"/>
    <mergeCell ref="G487:H487"/>
    <mergeCell ref="G514:H514"/>
    <mergeCell ref="E1642:F1642"/>
    <mergeCell ref="G645:H645"/>
    <mergeCell ref="E1185:F1185"/>
    <mergeCell ref="G188:H188"/>
    <mergeCell ref="E1179:F1179"/>
    <mergeCell ref="A20:B20"/>
    <mergeCell ref="G182:H182"/>
    <mergeCell ref="G814:H814"/>
    <mergeCell ref="A646:B646"/>
    <mergeCell ref="G945:H945"/>
    <mergeCell ref="G970:H970"/>
    <mergeCell ref="E1510:F1510"/>
    <mergeCell ref="A320:B320"/>
    <mergeCell ref="A347:B347"/>
    <mergeCell ref="A314:B314"/>
    <mergeCell ref="A952:B952"/>
    <mergeCell ref="A1000:B1000"/>
    <mergeCell ref="E1249:F1249"/>
    <mergeCell ref="A1089:B1089"/>
    <mergeCell ref="A1605:B1605"/>
    <mergeCell ref="A59:B59"/>
    <mergeCell ref="G90:H90"/>
    <mergeCell ref="G1303:H1303"/>
    <mergeCell ref="A1708:B1708"/>
    <mergeCell ref="A1702:B1702"/>
    <mergeCell ref="A222:B222"/>
    <mergeCell ref="E357:F357"/>
    <mergeCell ref="E515:F515"/>
    <mergeCell ref="G1603:H1603"/>
    <mergeCell ref="E52:F52"/>
    <mergeCell ref="E1103:F1103"/>
    <mergeCell ref="E815:F815"/>
    <mergeCell ref="E352:F352"/>
    <mergeCell ref="A1436:B1436"/>
    <mergeCell ref="G118:H118"/>
    <mergeCell ref="A1736:B1736"/>
    <mergeCell ref="E226:F226"/>
    <mergeCell ref="E526:F526"/>
    <mergeCell ref="G134:H134"/>
    <mergeCell ref="G286:H286"/>
    <mergeCell ref="E851:F851"/>
    <mergeCell ref="E826:F826"/>
    <mergeCell ref="G503:H503"/>
    <mergeCell ref="E1037:F1037"/>
    <mergeCell ref="G617:H617"/>
    <mergeCell ref="E1157:F1157"/>
    <mergeCell ref="G803:H803"/>
    <mergeCell ref="G917:H917"/>
    <mergeCell ref="G498:H498"/>
    <mergeCell ref="G1314:H1314"/>
    <mergeCell ref="G1472:H1472"/>
    <mergeCell ref="G1015:H1015"/>
    <mergeCell ref="G1009:H1009"/>
    <mergeCell ref="E101:F101"/>
    <mergeCell ref="A1638:B1638"/>
    <mergeCell ref="E1887:F1887"/>
    <mergeCell ref="G1564:H1564"/>
    <mergeCell ref="E434:F434"/>
    <mergeCell ref="E2098:F2098"/>
    <mergeCell ref="E102:F102"/>
    <mergeCell ref="G1864:H1864"/>
    <mergeCell ref="A603:B603"/>
    <mergeCell ref="G1891:H1891"/>
    <mergeCell ref="G1559:H1559"/>
    <mergeCell ref="A1566:B1566"/>
    <mergeCell ref="A1697:B1697"/>
    <mergeCell ref="E786:F786"/>
    <mergeCell ref="A2024:B2024"/>
    <mergeCell ref="G1575:H1575"/>
    <mergeCell ref="E1092:F1092"/>
    <mergeCell ref="A1692:B1692"/>
    <mergeCell ref="G1270:H1270"/>
    <mergeCell ref="G1919:H1919"/>
    <mergeCell ref="E787:F787"/>
    <mergeCell ref="G1875:H1875"/>
    <mergeCell ref="A1707:B1707"/>
    <mergeCell ref="G2033:H2033"/>
    <mergeCell ref="E1087:F1087"/>
    <mergeCell ref="A1763:B1763"/>
    <mergeCell ref="E1854:F1854"/>
    <mergeCell ref="E2012:F2012"/>
    <mergeCell ref="E2006:F2006"/>
    <mergeCell ref="E1549:F1549"/>
    <mergeCell ref="A359:B359"/>
    <mergeCell ref="G1772:H1772"/>
    <mergeCell ref="G1363:H1363"/>
    <mergeCell ref="A580:B580"/>
    <mergeCell ref="E1903:F1903"/>
    <mergeCell ref="G906:H906"/>
    <mergeCell ref="E2114:F2114"/>
    <mergeCell ref="G1663:H1663"/>
    <mergeCell ref="G1206:H1206"/>
    <mergeCell ref="A1038:B1038"/>
    <mergeCell ref="A581:B581"/>
    <mergeCell ref="A575:B575"/>
    <mergeCell ref="G1417:H1417"/>
    <mergeCell ref="A1338:B1338"/>
    <mergeCell ref="E1587:F1587"/>
    <mergeCell ref="A1555:B1555"/>
    <mergeCell ref="A1033:B1033"/>
    <mergeCell ref="G1233:H1233"/>
    <mergeCell ref="E1798:F1798"/>
    <mergeCell ref="G1315:H1315"/>
    <mergeCell ref="A1147:B1147"/>
    <mergeCell ref="G1309:H1309"/>
    <mergeCell ref="A842:B842"/>
    <mergeCell ref="G2072:H2072"/>
    <mergeCell ref="A1316:B1316"/>
    <mergeCell ref="A1447:B1447"/>
    <mergeCell ref="A1142:B1142"/>
    <mergeCell ref="A1747:B1747"/>
    <mergeCell ref="G1369:H1369"/>
    <mergeCell ref="E1974:F1974"/>
    <mergeCell ref="A1241:B1241"/>
    <mergeCell ref="G2039:H2039"/>
    <mergeCell ref="A1355:B1355"/>
    <mergeCell ref="A898:B898"/>
    <mergeCell ref="A1986:B1986"/>
    <mergeCell ref="E923:F923"/>
    <mergeCell ref="E13:F13"/>
    <mergeCell ref="A369:B369"/>
    <mergeCell ref="E1075:F1075"/>
    <mergeCell ref="G78:H78"/>
    <mergeCell ref="E618:F618"/>
    <mergeCell ref="G378:H378"/>
    <mergeCell ref="E918:F918"/>
    <mergeCell ref="G536:H536"/>
    <mergeCell ref="E1076:F1076"/>
    <mergeCell ref="G79:H79"/>
    <mergeCell ref="A1996:B1996"/>
    <mergeCell ref="G73:H73"/>
    <mergeCell ref="G836:H836"/>
    <mergeCell ref="A211:B211"/>
    <mergeCell ref="E671:F671"/>
    <mergeCell ref="A511:B511"/>
    <mergeCell ref="E1217:F1217"/>
    <mergeCell ref="E1303:F1303"/>
    <mergeCell ref="E1434:F1434"/>
    <mergeCell ref="G437:H437"/>
    <mergeCell ref="G852:H852"/>
    <mergeCell ref="E971:F971"/>
    <mergeCell ref="G1069:H1069"/>
    <mergeCell ref="G547:H547"/>
    <mergeCell ref="G1063:H1063"/>
    <mergeCell ref="E1603:F1603"/>
    <mergeCell ref="E1734:F1734"/>
    <mergeCell ref="E1271:F1271"/>
    <mergeCell ref="E1429:F1429"/>
    <mergeCell ref="A685:B685"/>
    <mergeCell ref="A1957:B1957"/>
    <mergeCell ref="A1652:B1652"/>
    <mergeCell ref="E90:F90"/>
    <mergeCell ref="A1952:B1952"/>
    <mergeCell ref="E390:F390"/>
    <mergeCell ref="E1047:F1047"/>
    <mergeCell ref="G25:H25"/>
    <mergeCell ref="G1853:H1853"/>
    <mergeCell ref="E302:F302"/>
    <mergeCell ref="G236:H236"/>
    <mergeCell ref="E1347:F1347"/>
    <mergeCell ref="A1854:B1854"/>
    <mergeCell ref="E1048:F1048"/>
    <mergeCell ref="A1680:B1680"/>
    <mergeCell ref="A69:B69"/>
    <mergeCell ref="A183:B183"/>
    <mergeCell ref="E318:F318"/>
    <mergeCell ref="G1064:H1064"/>
    <mergeCell ref="A896:B896"/>
    <mergeCell ref="G1195:H1195"/>
    <mergeCell ref="A439:B439"/>
    <mergeCell ref="A433:B433"/>
    <mergeCell ref="A985:B985"/>
    <mergeCell ref="A591:B591"/>
    <mergeCell ref="A1196:B1196"/>
    <mergeCell ref="E1445:F1445"/>
    <mergeCell ref="G1053:H1053"/>
    <mergeCell ref="E1140:F1140"/>
    <mergeCell ref="A1496:B1496"/>
    <mergeCell ref="G1205:H1205"/>
    <mergeCell ref="E1745:F1745"/>
    <mergeCell ref="G748:H748"/>
    <mergeCell ref="A825:B825"/>
    <mergeCell ref="A1430:B1430"/>
    <mergeCell ref="E51:F51"/>
    <mergeCell ref="A1588:B1588"/>
    <mergeCell ref="E683:F683"/>
    <mergeCell ref="G1771:H1771"/>
    <mergeCell ref="E220:F220"/>
    <mergeCell ref="G1466:H1466"/>
    <mergeCell ref="E983:F983"/>
    <mergeCell ref="A553:B553"/>
    <mergeCell ref="E520:F520"/>
    <mergeCell ref="E678:F678"/>
    <mergeCell ref="A1604:B1604"/>
    <mergeCell ref="G1766:H1766"/>
    <mergeCell ref="A1185:B1185"/>
    <mergeCell ref="A1299:B1299"/>
    <mergeCell ref="G2114:H2114"/>
    <mergeCell ref="A853:B853"/>
    <mergeCell ref="A1904:B1904"/>
    <mergeCell ref="A1485:B1485"/>
    <mergeCell ref="A1599:B1599"/>
    <mergeCell ref="E667:F667"/>
    <mergeCell ref="E248:F248"/>
    <mergeCell ref="A1785:B1785"/>
    <mergeCell ref="E368:F368"/>
    <mergeCell ref="G1494:H1494"/>
    <mergeCell ref="E2059:F2059"/>
    <mergeCell ref="A1899:B1899"/>
    <mergeCell ref="A869:B869"/>
    <mergeCell ref="G1825:H1825"/>
    <mergeCell ref="A1169:B1169"/>
    <mergeCell ref="A864:B864"/>
    <mergeCell ref="A102:B102"/>
    <mergeCell ref="E1897:F1897"/>
    <mergeCell ref="E351:F351"/>
    <mergeCell ref="E867:F867"/>
    <mergeCell ref="G2113:H2113"/>
    <mergeCell ref="E956:F956"/>
    <mergeCell ref="A402:B402"/>
    <mergeCell ref="E1167:F1167"/>
    <mergeCell ref="E1325:F1325"/>
    <mergeCell ref="G328:H328"/>
    <mergeCell ref="A733:B733"/>
    <mergeCell ref="E868:F868"/>
    <mergeCell ref="E862:F862"/>
    <mergeCell ref="G2108:H2108"/>
    <mergeCell ref="A1483:B1483"/>
    <mergeCell ref="G628:H628"/>
    <mergeCell ref="A2088:B2088"/>
    <mergeCell ref="G323:H323"/>
    <mergeCell ref="A1783:B1783"/>
    <mergeCell ref="A113:B113"/>
    <mergeCell ref="G928:H928"/>
    <mergeCell ref="A1941:B1941"/>
    <mergeCell ref="A303:B303"/>
    <mergeCell ref="E1641:F1641"/>
    <mergeCell ref="A761:B761"/>
    <mergeCell ref="E1336:F1336"/>
    <mergeCell ref="E1467:F1467"/>
    <mergeCell ref="G944:H944"/>
    <mergeCell ref="G1102:H1102"/>
    <mergeCell ref="E1636:F1636"/>
    <mergeCell ref="G639:H639"/>
    <mergeCell ref="G1313:H1313"/>
    <mergeCell ref="E193:F193"/>
    <mergeCell ref="A1119:B1119"/>
    <mergeCell ref="G247:H247"/>
    <mergeCell ref="G2069:H2069"/>
    <mergeCell ref="A1876:B1876"/>
    <mergeCell ref="A1419:B1419"/>
    <mergeCell ref="A1413:B1413"/>
    <mergeCell ref="E514:F514"/>
    <mergeCell ref="A1114:B1114"/>
    <mergeCell ref="A1719:B1719"/>
    <mergeCell ref="E209:F209"/>
    <mergeCell ref="E814:F814"/>
    <mergeCell ref="E509:F509"/>
    <mergeCell ref="E640:F640"/>
    <mergeCell ref="G275:H275"/>
    <mergeCell ref="G269:H269"/>
    <mergeCell ref="E809:F809"/>
    <mergeCell ref="A1887:B1887"/>
    <mergeCell ref="E1597:F1597"/>
    <mergeCell ref="A407:B407"/>
    <mergeCell ref="G1402:H1402"/>
    <mergeCell ref="A777:B777"/>
    <mergeCell ref="G1613:H1613"/>
    <mergeCell ref="A929:B929"/>
    <mergeCell ref="A472:B472"/>
    <mergeCell ref="A1534:B1534"/>
    <mergeCell ref="A683:B683"/>
    <mergeCell ref="A1235:B1235"/>
    <mergeCell ref="A772:B772"/>
    <mergeCell ref="E1994:F1994"/>
    <mergeCell ref="A1446:B1446"/>
    <mergeCell ref="G781:H781"/>
    <mergeCell ref="G2021:H2021"/>
    <mergeCell ref="A760:B760"/>
    <mergeCell ref="G2015:H2015"/>
    <mergeCell ref="E470:F470"/>
    <mergeCell ref="G1558:H1558"/>
    <mergeCell ref="G1716:H1716"/>
    <mergeCell ref="E770:F770"/>
    <mergeCell ref="G2016:H2016"/>
    <mergeCell ref="A1848:B1848"/>
    <mergeCell ref="A1823:B1823"/>
    <mergeCell ref="E1983:F1983"/>
    <mergeCell ref="A1391:B1391"/>
    <mergeCell ref="E2097:F2097"/>
    <mergeCell ref="G231:H231"/>
    <mergeCell ref="A1691:B1691"/>
    <mergeCell ref="E1978:F1978"/>
    <mergeCell ref="G981:H981"/>
    <mergeCell ref="E917:F917"/>
    <mergeCell ref="G2043:H2043"/>
    <mergeCell ref="E498:F498"/>
    <mergeCell ref="A1418:B1418"/>
    <mergeCell ref="E612:F612"/>
    <mergeCell ref="G1455:H1455"/>
    <mergeCell ref="E1995:F1995"/>
    <mergeCell ref="G998:H998"/>
    <mergeCell ref="E1989:F1989"/>
    <mergeCell ref="A830:B830"/>
    <mergeCell ref="G992:H992"/>
    <mergeCell ref="G1150:H1150"/>
    <mergeCell ref="A919:B919"/>
    <mergeCell ref="G1755:H1755"/>
    <mergeCell ref="A1130:B1130"/>
    <mergeCell ref="A36:B36"/>
    <mergeCell ref="A668:B668"/>
    <mergeCell ref="A205:B205"/>
    <mergeCell ref="A2033:B2033"/>
    <mergeCell ref="A363:B363"/>
    <mergeCell ref="G563:H563"/>
    <mergeCell ref="E1128:F1128"/>
    <mergeCell ref="A968:B968"/>
    <mergeCell ref="E1891:F1891"/>
    <mergeCell ref="G894:H894"/>
    <mergeCell ref="E1885:F1885"/>
    <mergeCell ref="G888:H888"/>
    <mergeCell ref="E1428:F1428"/>
    <mergeCell ref="G1194:H1194"/>
    <mergeCell ref="G1188:H1188"/>
    <mergeCell ref="E1728:F1728"/>
    <mergeCell ref="G731:H731"/>
    <mergeCell ref="G1346:H1346"/>
    <mergeCell ref="E1886:F1886"/>
    <mergeCell ref="G889:H889"/>
    <mergeCell ref="A721:B721"/>
    <mergeCell ref="A696:B696"/>
    <mergeCell ref="G1951:H1951"/>
    <mergeCell ref="A258:B258"/>
    <mergeCell ref="G1189:H1189"/>
    <mergeCell ref="A1021:B1021"/>
    <mergeCell ref="A564:B564"/>
    <mergeCell ref="E1270:F1270"/>
    <mergeCell ref="A1784:B1784"/>
    <mergeCell ref="G1362:H1362"/>
    <mergeCell ref="E1875:F1875"/>
    <mergeCell ref="G916:H916"/>
    <mergeCell ref="G67:H67"/>
    <mergeCell ref="E1058:F1058"/>
    <mergeCell ref="G61:H61"/>
    <mergeCell ref="G219:H219"/>
    <mergeCell ref="E759:F759"/>
    <mergeCell ref="A1679:B1679"/>
    <mergeCell ref="G824:H824"/>
    <mergeCell ref="G519:H519"/>
    <mergeCell ref="E1059:F1059"/>
    <mergeCell ref="G62:H62"/>
    <mergeCell ref="A657:B657"/>
    <mergeCell ref="E748:F748"/>
    <mergeCell ref="A194:B194"/>
    <mergeCell ref="E900:F900"/>
    <mergeCell ref="E443:F443"/>
    <mergeCell ref="G535:H535"/>
    <mergeCell ref="A494:B494"/>
    <mergeCell ref="E1206:F1206"/>
    <mergeCell ref="E1200:F1200"/>
    <mergeCell ref="G203:H203"/>
    <mergeCell ref="G230:H230"/>
    <mergeCell ref="E743:F743"/>
    <mergeCell ref="G361:H361"/>
    <mergeCell ref="E1417:F1417"/>
    <mergeCell ref="G966:H966"/>
    <mergeCell ref="E1112:F1112"/>
    <mergeCell ref="A368:B368"/>
    <mergeCell ref="G530:H530"/>
    <mergeCell ref="A1321:B1321"/>
    <mergeCell ref="A1479:B1479"/>
    <mergeCell ref="G1030:H1030"/>
    <mergeCell ref="E1570:F1570"/>
    <mergeCell ref="A1310:B1310"/>
    <mergeCell ref="A2073:B2073"/>
    <mergeCell ref="E79:F79"/>
    <mergeCell ref="E73:F73"/>
    <mergeCell ref="A1610:B1610"/>
    <mergeCell ref="G1993:H1993"/>
    <mergeCell ref="E861:F861"/>
    <mergeCell ref="E836:F836"/>
    <mergeCell ref="G139:H139"/>
    <mergeCell ref="A1668:B1668"/>
    <mergeCell ref="G1830:H1830"/>
    <mergeCell ref="A1757:B1757"/>
    <mergeCell ref="G491:H491"/>
    <mergeCell ref="A1968:B1968"/>
    <mergeCell ref="E547:F547"/>
    <mergeCell ref="A1663:B1663"/>
    <mergeCell ref="E758:F758"/>
    <mergeCell ref="E847:F847"/>
    <mergeCell ref="E1064:F1064"/>
    <mergeCell ref="E2027:F2027"/>
    <mergeCell ref="G1662:H1662"/>
    <mergeCell ref="G1336:H1336"/>
    <mergeCell ref="A749:B749"/>
    <mergeCell ref="E2028:F2028"/>
    <mergeCell ref="G1031:H1031"/>
    <mergeCell ref="G1242:H1242"/>
    <mergeCell ref="A1049:B1049"/>
    <mergeCell ref="A1032:B1032"/>
    <mergeCell ref="G1331:H1331"/>
    <mergeCell ref="E1955:F1955"/>
    <mergeCell ref="E145:F145"/>
    <mergeCell ref="E139:F1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1-2047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Marlou</cp:lastModifiedBy>
  <dcterms:created xsi:type="dcterms:W3CDTF">2025-11-28T11:34:56Z</dcterms:created>
  <dcterms:modified xsi:type="dcterms:W3CDTF">2025-11-28T13:32:24Z</dcterms:modified>
</cp:coreProperties>
</file>