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lou\Desktop\billing automation\ltbap\templates\"/>
    </mc:Choice>
  </mc:AlternateContent>
  <xr:revisionPtr revIDLastSave="0" documentId="8_{2A65FB9B-C1F8-484B-914C-353BCD654FB5}" xr6:coauthVersionLast="47" xr6:coauthVersionMax="47" xr10:uidLastSave="{00000000-0000-0000-0000-000000000000}"/>
  <bookViews>
    <workbookView xWindow="-108" yWindow="-108" windowWidth="23256" windowHeight="12456" xr2:uid="{16DF38B0-84EA-466D-B6B4-3B1DF0E54A06}"/>
  </bookViews>
  <sheets>
    <sheet name="SOA" sheetId="1" r:id="rId1"/>
  </sheets>
  <definedNames>
    <definedName name="_xlnm.Print_Area" localSheetId="0">SOA!$A$1:$I$40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30" i="1"/>
  <c r="I31" i="1"/>
  <c r="I32" i="1"/>
  <c r="I33" i="1"/>
  <c r="I34" i="1"/>
  <c r="I35" i="1"/>
</calcChain>
</file>

<file path=xl/sharedStrings.xml><?xml version="1.0" encoding="utf-8"?>
<sst xmlns="http://schemas.openxmlformats.org/spreadsheetml/2006/main" count="72" uniqueCount="35">
  <si>
    <t>MARIA LOURDES M. LOSOCON</t>
  </si>
  <si>
    <t xml:space="preserve">NOTED BY : </t>
  </si>
  <si>
    <t>MARLOU V. BATION</t>
  </si>
  <si>
    <t xml:space="preserve">PREPARED BY : </t>
  </si>
  <si>
    <t xml:space="preserve"> </t>
  </si>
  <si>
    <t>TOTAL:</t>
  </si>
  <si>
    <t xml:space="preserve">  </t>
  </si>
  <si>
    <t>JAR - 8662</t>
  </si>
  <si>
    <t>VFI PLANT</t>
  </si>
  <si>
    <t>BB5</t>
  </si>
  <si>
    <t>5G</t>
  </si>
  <si>
    <t>JSI TAYUD</t>
  </si>
  <si>
    <t>JSI MAIN</t>
  </si>
  <si>
    <t>JAR - 2287</t>
  </si>
  <si>
    <t>RATE</t>
  </si>
  <si>
    <t>WAY BILL</t>
  </si>
  <si>
    <t># OF BLKS</t>
  </si>
  <si>
    <t>TRIP TICKET</t>
  </si>
  <si>
    <t>PLATE #</t>
  </si>
  <si>
    <t>TO</t>
  </si>
  <si>
    <t>FROM</t>
  </si>
  <si>
    <t>DELIVERY DATE</t>
  </si>
  <si>
    <t># OF TRIPS</t>
  </si>
  <si>
    <t>RM DELIVERY TRANSFER</t>
  </si>
  <si>
    <t>7 TONS</t>
  </si>
  <si>
    <t>TRUCK CAPACITY:</t>
  </si>
  <si>
    <t>VIRGINIA FOOD INC.</t>
  </si>
  <si>
    <t>BILL NO.</t>
  </si>
  <si>
    <t>LTRM-</t>
  </si>
  <si>
    <t>SOA NO:</t>
  </si>
  <si>
    <t>DATE:</t>
  </si>
  <si>
    <t>STATEMENT OF ACCOUNT</t>
  </si>
  <si>
    <t>TEL: 423-6184</t>
  </si>
  <si>
    <t>PUROK 4 GUMAMELA, TAYUD, CONSOLACION CEBU 6001</t>
  </si>
  <si>
    <t>LORKWEN TRUCKING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</si>
</sst>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₱&quot;#,##0.00;\-&quot;₱&quot;#,##0.00"/>
    <numFmt numFmtId="164" formatCode="&quot;₱&quot;#,##0.00"/>
    <numFmt numFmtId="165" formatCode="00000"/>
    <numFmt numFmtId="166" formatCode="000000"/>
  </numFmts>
  <fonts count="4" x14ac:knownFonts="1">
    <font>
      <sz val="11"/>
      <color theme="1"/>
      <name val="Calibri"/>
      <family val="2"/>
      <scheme val="minor"/>
    </font>
    <font>
      <b/>
      <sz val="14"/>
      <color rgb="FF00B0F0"/>
      <name val="Bahnschrift SemiBold"/>
      <family val="2"/>
    </font>
    <font>
      <sz val="18"/>
      <color theme="1"/>
      <name val="Calibri"/>
      <family val="2"/>
      <scheme val="minor"/>
    </font>
    <font>
      <sz val="2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7" fontId="0" fillId="0" borderId="0" xfId="0" applyNumberFormat="1"/>
    <xf numFmtId="14" fontId="0" fillId="0" borderId="0" xfId="0" applyNumberFormat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5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6" fontId="0" fillId="0" borderId="1" xfId="0" quotePrefix="1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5" fontId="0" fillId="0" borderId="0" xfId="0" quotePrefix="1" applyNumberForma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5652-FE75-4BDB-9D11-12502624E790}">
  <sheetPr>
    <pageSetUpPr fitToPage="1"/>
  </sheetPr>
  <dimension ref="A1:M41"/>
  <sheetViews>
    <sheetView tabSelected="1" topLeftCell="A2" zoomScaleNormal="100" workbookViewId="0">
      <selection activeCell="I6" sqref="I6"/>
    </sheetView>
  </sheetViews>
  <sheetFormatPr defaultRowHeight="14.4" x14ac:dyDescent="0.3"/>
  <cols>
    <col min="1" max="1" width="16.109375" customWidth="1"/>
    <col min="2" max="2" width="21.44140625" customWidth="1"/>
    <col min="3" max="3" width="13.5546875" customWidth="1"/>
    <col min="4" max="4" width="16" customWidth="1"/>
    <col min="5" max="5" width="14.6640625" customWidth="1"/>
    <col min="6" max="6" width="14.44140625" customWidth="1"/>
    <col min="7" max="7" width="14" customWidth="1"/>
    <col min="8" max="8" width="18.109375" customWidth="1"/>
    <col min="9" max="9" width="17.5546875" customWidth="1"/>
  </cols>
  <sheetData>
    <row r="1" spans="1:13" ht="36.6" x14ac:dyDescent="0.3">
      <c r="E1" s="16" t="s">
        <v>34</v>
      </c>
    </row>
    <row r="2" spans="1:13" x14ac:dyDescent="0.3">
      <c r="E2" s="15" t="s">
        <v>33</v>
      </c>
    </row>
    <row r="3" spans="1:13" x14ac:dyDescent="0.3">
      <c r="E3" s="15" t="s">
        <v>32</v>
      </c>
    </row>
    <row r="4" spans="1:13" x14ac:dyDescent="0.3">
      <c r="E4" s="15"/>
    </row>
    <row r="5" spans="1:13" ht="23.4" x14ac:dyDescent="0.45">
      <c r="C5" s="14" t="s">
        <v>31</v>
      </c>
      <c r="D5" s="14"/>
      <c r="E5" s="14"/>
      <c r="F5" s="14"/>
      <c r="G5" s="14"/>
    </row>
    <row r="6" spans="1:13" x14ac:dyDescent="0.3">
      <c r="A6" t="s">
        <v>30</v>
      </c>
      <c r="B6" s="13">
        <v>45928</v>
      </c>
      <c r="G6" t="s">
        <v>29</v>
      </c>
      <c r="H6" s="12" t="s">
        <v>28</v>
      </c>
      <c r="I6" s="11">
        <v>97</v>
      </c>
    </row>
    <row r="7" spans="1:13" x14ac:dyDescent="0.3">
      <c r="A7" t="s">
        <v>27</v>
      </c>
      <c r="B7" t="s">
        <v>26</v>
      </c>
      <c r="K7" t="s">
        <v>6</v>
      </c>
    </row>
    <row r="8" spans="1:13" x14ac:dyDescent="0.3">
      <c r="A8" t="s">
        <v>25</v>
      </c>
      <c r="B8" t="s">
        <v>24</v>
      </c>
    </row>
    <row r="9" spans="1:13" ht="17.399999999999999" x14ac:dyDescent="0.3">
      <c r="C9" s="10" t="s">
        <v>23</v>
      </c>
      <c r="D9" s="10"/>
      <c r="E9" s="10"/>
      <c r="F9" s="10"/>
    </row>
    <row r="10" spans="1:13" x14ac:dyDescent="0.3">
      <c r="A10" s="4" t="s">
        <v>22</v>
      </c>
      <c r="B10" s="4" t="s">
        <v>21</v>
      </c>
      <c r="C10" s="4" t="s">
        <v>20</v>
      </c>
      <c r="D10" s="4" t="s">
        <v>19</v>
      </c>
      <c r="E10" s="4" t="s">
        <v>18</v>
      </c>
      <c r="F10" s="4" t="s">
        <v>17</v>
      </c>
      <c r="G10" s="4" t="s">
        <v>16</v>
      </c>
      <c r="H10" s="4" t="s">
        <v>15</v>
      </c>
      <c r="I10" s="4" t="s">
        <v>14</v>
      </c>
      <c r="M10" t="s">
        <v>4</v>
      </c>
    </row>
    <row r="11" spans="1:13" x14ac:dyDescent="0.3">
      <c r="A11" s="4">
        <v>1199</v>
      </c>
      <c r="B11" s="7">
        <v>45911</v>
      </c>
      <c r="C11" s="4" t="s">
        <v>9</v>
      </c>
      <c r="D11" s="4" t="s">
        <v>8</v>
      </c>
      <c r="E11" s="4" t="s">
        <v>13</v>
      </c>
      <c r="F11" s="9">
        <v>139523</v>
      </c>
      <c r="G11" s="8">
        <v>400</v>
      </c>
      <c r="H11" s="5">
        <v>2380</v>
      </c>
      <c r="I11" s="3">
        <f>IF(H11="","",6300)</f>
        <v>6300</v>
      </c>
    </row>
    <row r="12" spans="1:13" x14ac:dyDescent="0.3">
      <c r="A12" s="4">
        <v>1200</v>
      </c>
      <c r="B12" s="7">
        <v>45914</v>
      </c>
      <c r="C12" s="4" t="s">
        <v>11</v>
      </c>
      <c r="D12" s="4" t="s">
        <v>8</v>
      </c>
      <c r="E12" s="4" t="s">
        <v>13</v>
      </c>
      <c r="F12" s="9">
        <v>142169</v>
      </c>
      <c r="G12" s="8">
        <v>368</v>
      </c>
      <c r="H12" s="5">
        <v>2381</v>
      </c>
      <c r="I12" s="3">
        <f>IF(H12="","",6300)</f>
        <v>6300</v>
      </c>
    </row>
    <row r="13" spans="1:13" x14ac:dyDescent="0.3">
      <c r="A13" s="4">
        <v>1201</v>
      </c>
      <c r="B13" s="7">
        <v>45916</v>
      </c>
      <c r="C13" s="4" t="s">
        <v>9</v>
      </c>
      <c r="D13" s="4" t="s">
        <v>8</v>
      </c>
      <c r="E13" s="4" t="s">
        <v>13</v>
      </c>
      <c r="F13" s="9">
        <v>139528</v>
      </c>
      <c r="G13" s="8">
        <v>400</v>
      </c>
      <c r="H13" s="5">
        <v>2382</v>
      </c>
      <c r="I13" s="3">
        <f>IF(H13="","",6300)</f>
        <v>6300</v>
      </c>
    </row>
    <row r="14" spans="1:13" x14ac:dyDescent="0.3">
      <c r="A14" s="4">
        <v>1202</v>
      </c>
      <c r="B14" s="7">
        <v>45917</v>
      </c>
      <c r="C14" s="4" t="s">
        <v>10</v>
      </c>
      <c r="D14" s="4" t="s">
        <v>8</v>
      </c>
      <c r="E14" s="4" t="s">
        <v>13</v>
      </c>
      <c r="F14" s="9">
        <v>138517</v>
      </c>
      <c r="G14" s="8">
        <v>520</v>
      </c>
      <c r="H14" s="5">
        <v>2383</v>
      </c>
      <c r="I14" s="3">
        <f>IF(H14="","",6300)</f>
        <v>6300</v>
      </c>
    </row>
    <row r="15" spans="1:13" x14ac:dyDescent="0.3">
      <c r="A15" s="4">
        <v>1203</v>
      </c>
      <c r="B15" s="7">
        <v>45918</v>
      </c>
      <c r="C15" s="4" t="s">
        <v>12</v>
      </c>
      <c r="D15" s="4" t="s">
        <v>8</v>
      </c>
      <c r="E15" s="4" t="s">
        <v>13</v>
      </c>
      <c r="F15" s="9">
        <v>142202</v>
      </c>
      <c r="G15" s="8">
        <v>476</v>
      </c>
      <c r="H15" s="5">
        <v>2384</v>
      </c>
      <c r="I15" s="3">
        <f>IF(H15="","",6300)</f>
        <v>6300</v>
      </c>
    </row>
    <row r="16" spans="1:13" x14ac:dyDescent="0.3">
      <c r="A16" s="4">
        <v>1204</v>
      </c>
      <c r="B16" s="7">
        <v>45919</v>
      </c>
      <c r="C16" s="4" t="s">
        <v>11</v>
      </c>
      <c r="D16" s="4" t="s">
        <v>8</v>
      </c>
      <c r="E16" s="4" t="s">
        <v>13</v>
      </c>
      <c r="F16" s="9">
        <v>142174</v>
      </c>
      <c r="G16" s="8">
        <v>604</v>
      </c>
      <c r="H16" s="5">
        <v>2385</v>
      </c>
      <c r="I16" s="3">
        <f>IF(H16="","",6300)</f>
        <v>6300</v>
      </c>
    </row>
    <row r="17" spans="1:9" x14ac:dyDescent="0.3">
      <c r="A17" s="4">
        <v>1205</v>
      </c>
      <c r="B17" s="7">
        <v>45919</v>
      </c>
      <c r="C17" s="4" t="s">
        <v>10</v>
      </c>
      <c r="D17" s="4" t="s">
        <v>8</v>
      </c>
      <c r="E17" s="4" t="s">
        <v>13</v>
      </c>
      <c r="F17" s="9">
        <v>138520</v>
      </c>
      <c r="G17" s="8">
        <v>521</v>
      </c>
      <c r="H17" s="5">
        <v>2386</v>
      </c>
      <c r="I17" s="3">
        <f>IF(H17="","",6300)</f>
        <v>6300</v>
      </c>
    </row>
    <row r="18" spans="1:9" x14ac:dyDescent="0.3">
      <c r="A18" s="4">
        <v>1206</v>
      </c>
      <c r="B18" s="7">
        <v>45913</v>
      </c>
      <c r="C18" s="4" t="s">
        <v>12</v>
      </c>
      <c r="D18" s="4" t="s">
        <v>8</v>
      </c>
      <c r="E18" s="4" t="s">
        <v>7</v>
      </c>
      <c r="F18" s="9">
        <v>135849</v>
      </c>
      <c r="G18" s="8">
        <v>385</v>
      </c>
      <c r="H18" s="5">
        <v>2387</v>
      </c>
      <c r="I18" s="3">
        <f>IF(H18="","",6300)</f>
        <v>6300</v>
      </c>
    </row>
    <row r="19" spans="1:9" x14ac:dyDescent="0.3">
      <c r="A19" s="4">
        <v>1207</v>
      </c>
      <c r="B19" s="7">
        <v>45914</v>
      </c>
      <c r="C19" s="4" t="s">
        <v>9</v>
      </c>
      <c r="D19" s="4" t="s">
        <v>8</v>
      </c>
      <c r="E19" s="4" t="s">
        <v>7</v>
      </c>
      <c r="F19" s="9">
        <v>139524</v>
      </c>
      <c r="G19" s="8">
        <v>400</v>
      </c>
      <c r="H19" s="5">
        <v>2388</v>
      </c>
      <c r="I19" s="3">
        <f>IF(H19="","",6300)</f>
        <v>6300</v>
      </c>
    </row>
    <row r="20" spans="1:9" x14ac:dyDescent="0.3">
      <c r="A20" s="4">
        <v>1208</v>
      </c>
      <c r="B20" s="7">
        <v>45914</v>
      </c>
      <c r="C20" s="4" t="s">
        <v>11</v>
      </c>
      <c r="D20" s="4" t="s">
        <v>8</v>
      </c>
      <c r="E20" s="4" t="s">
        <v>7</v>
      </c>
      <c r="F20" s="9">
        <v>142170</v>
      </c>
      <c r="G20" s="8">
        <v>400</v>
      </c>
      <c r="H20" s="5">
        <v>2389</v>
      </c>
      <c r="I20" s="3">
        <f>IF(H20="","",6300)</f>
        <v>6300</v>
      </c>
    </row>
    <row r="21" spans="1:9" x14ac:dyDescent="0.3">
      <c r="A21" s="4">
        <v>1209</v>
      </c>
      <c r="B21" s="7">
        <v>45917</v>
      </c>
      <c r="C21" s="4" t="s">
        <v>9</v>
      </c>
      <c r="D21" s="4" t="s">
        <v>8</v>
      </c>
      <c r="E21" s="4" t="s">
        <v>7</v>
      </c>
      <c r="F21" s="9">
        <v>139532</v>
      </c>
      <c r="G21" s="8">
        <v>368</v>
      </c>
      <c r="H21" s="5">
        <v>2390</v>
      </c>
      <c r="I21" s="3">
        <f>IF(H21="","",6300)</f>
        <v>6300</v>
      </c>
    </row>
    <row r="22" spans="1:9" x14ac:dyDescent="0.3">
      <c r="A22" s="4">
        <v>1210</v>
      </c>
      <c r="B22" s="7">
        <v>45918</v>
      </c>
      <c r="C22" s="4" t="s">
        <v>10</v>
      </c>
      <c r="D22" s="4" t="s">
        <v>8</v>
      </c>
      <c r="E22" s="4" t="s">
        <v>7</v>
      </c>
      <c r="F22" s="9">
        <v>138518</v>
      </c>
      <c r="G22" s="8">
        <v>470</v>
      </c>
      <c r="H22" s="5">
        <v>2391</v>
      </c>
      <c r="I22" s="3">
        <f>IF(H22="","",6300)</f>
        <v>6300</v>
      </c>
    </row>
    <row r="23" spans="1:9" x14ac:dyDescent="0.3">
      <c r="A23" s="4">
        <v>1211</v>
      </c>
      <c r="B23" s="7">
        <v>45918</v>
      </c>
      <c r="C23" s="4" t="s">
        <v>9</v>
      </c>
      <c r="D23" s="4" t="s">
        <v>8</v>
      </c>
      <c r="E23" s="4" t="s">
        <v>7</v>
      </c>
      <c r="F23" s="9">
        <v>139536</v>
      </c>
      <c r="G23" s="8">
        <v>518</v>
      </c>
      <c r="H23" s="5">
        <v>2392</v>
      </c>
      <c r="I23" s="3">
        <f>IF(H23="","",6300)</f>
        <v>6300</v>
      </c>
    </row>
    <row r="24" spans="1:9" x14ac:dyDescent="0.3">
      <c r="A24" s="4">
        <v>1212</v>
      </c>
      <c r="B24" s="7">
        <v>45918</v>
      </c>
      <c r="C24" s="4" t="s">
        <v>9</v>
      </c>
      <c r="D24" s="4" t="s">
        <v>8</v>
      </c>
      <c r="E24" s="4" t="s">
        <v>7</v>
      </c>
      <c r="F24" s="9">
        <v>139544</v>
      </c>
      <c r="G24" s="8">
        <v>380</v>
      </c>
      <c r="H24" s="5">
        <v>2393</v>
      </c>
      <c r="I24" s="3">
        <f>IF(H24="","",6300)</f>
        <v>6300</v>
      </c>
    </row>
    <row r="25" spans="1:9" x14ac:dyDescent="0.3">
      <c r="A25" s="4"/>
      <c r="B25" s="7"/>
      <c r="C25" s="4"/>
      <c r="D25" s="4"/>
      <c r="E25" s="4"/>
      <c r="F25" s="9"/>
      <c r="G25" s="8"/>
      <c r="H25" s="5"/>
      <c r="I25" s="3"/>
    </row>
    <row r="26" spans="1:9" x14ac:dyDescent="0.3">
      <c r="A26" s="4"/>
      <c r="B26" s="7"/>
      <c r="C26" s="4"/>
      <c r="D26" s="4"/>
      <c r="E26" s="4"/>
      <c r="F26" s="9"/>
      <c r="G26" s="8"/>
      <c r="H26" s="5"/>
      <c r="I26" s="3"/>
    </row>
    <row r="27" spans="1:9" x14ac:dyDescent="0.3">
      <c r="A27" s="4"/>
      <c r="B27" s="7"/>
      <c r="C27" s="4"/>
      <c r="D27" s="4"/>
      <c r="E27" s="4"/>
      <c r="F27" s="9"/>
      <c r="G27" s="8"/>
      <c r="H27" s="5"/>
      <c r="I27" s="3"/>
    </row>
    <row r="28" spans="1:9" x14ac:dyDescent="0.3">
      <c r="A28" s="4"/>
      <c r="B28" s="7"/>
      <c r="C28" s="4"/>
      <c r="D28" s="4"/>
      <c r="E28" s="4"/>
      <c r="F28" s="9"/>
      <c r="G28" s="8"/>
      <c r="H28" s="5"/>
      <c r="I28" s="3"/>
    </row>
    <row r="29" spans="1:9" x14ac:dyDescent="0.3">
      <c r="A29" s="4"/>
      <c r="B29" s="7"/>
      <c r="C29" s="4"/>
      <c r="D29" s="4"/>
      <c r="E29" s="4"/>
      <c r="F29" s="9"/>
      <c r="G29" s="8"/>
      <c r="H29" s="5"/>
      <c r="I29" s="3"/>
    </row>
    <row r="30" spans="1:9" x14ac:dyDescent="0.3">
      <c r="A30" s="4"/>
      <c r="B30" s="7"/>
      <c r="C30" s="4"/>
      <c r="D30" s="4"/>
      <c r="E30" s="4"/>
      <c r="F30" s="9"/>
      <c r="G30" s="8"/>
      <c r="H30" s="5"/>
      <c r="I30" s="3" t="str">
        <f>IF(H30="","",6300)</f>
        <v/>
      </c>
    </row>
    <row r="31" spans="1:9" x14ac:dyDescent="0.3">
      <c r="A31" s="4"/>
      <c r="B31" s="7"/>
      <c r="C31" s="4"/>
      <c r="D31" s="4"/>
      <c r="E31" s="4"/>
      <c r="F31" s="6" t="s">
        <v>6</v>
      </c>
      <c r="G31" s="4"/>
      <c r="H31" s="5"/>
      <c r="I31" s="3" t="str">
        <f>IF(H31="","",6300)</f>
        <v/>
      </c>
    </row>
    <row r="32" spans="1:9" x14ac:dyDescent="0.3">
      <c r="A32" s="4"/>
      <c r="B32" s="7"/>
      <c r="C32" s="4"/>
      <c r="D32" s="4"/>
      <c r="E32" s="4"/>
      <c r="F32" s="6"/>
      <c r="G32" s="4"/>
      <c r="H32" s="5"/>
      <c r="I32" s="3" t="str">
        <f>IF(H32="","",6300)</f>
        <v/>
      </c>
    </row>
    <row r="33" spans="1:9" x14ac:dyDescent="0.3">
      <c r="A33" s="4"/>
      <c r="B33" s="7"/>
      <c r="C33" s="4"/>
      <c r="D33" s="4"/>
      <c r="E33" s="4"/>
      <c r="F33" s="6"/>
      <c r="G33" s="4"/>
      <c r="H33" s="5"/>
      <c r="I33" s="3" t="str">
        <f>IF(H33="","",6300)</f>
        <v/>
      </c>
    </row>
    <row r="34" spans="1:9" x14ac:dyDescent="0.3">
      <c r="A34" s="4"/>
      <c r="B34" s="7"/>
      <c r="C34" s="4"/>
      <c r="D34" s="4"/>
      <c r="E34" s="4"/>
      <c r="F34" s="6"/>
      <c r="G34" s="4"/>
      <c r="H34" s="5"/>
      <c r="I34" s="3" t="str">
        <f>IF(H34="","",6300)</f>
        <v/>
      </c>
    </row>
    <row r="35" spans="1:9" x14ac:dyDescent="0.3">
      <c r="A35" s="4"/>
      <c r="B35" s="4"/>
      <c r="C35" s="4"/>
      <c r="D35" s="4"/>
      <c r="E35" s="4"/>
      <c r="F35" s="4"/>
      <c r="G35" s="4"/>
      <c r="H35" s="4" t="s">
        <v>5</v>
      </c>
      <c r="I35" s="3">
        <f>SUM(I11:I33)</f>
        <v>88200</v>
      </c>
    </row>
    <row r="36" spans="1:9" x14ac:dyDescent="0.3">
      <c r="E36" t="s">
        <v>4</v>
      </c>
    </row>
    <row r="37" spans="1:9" x14ac:dyDescent="0.3">
      <c r="A37" t="s">
        <v>3</v>
      </c>
      <c r="B37" t="s">
        <v>2</v>
      </c>
    </row>
    <row r="40" spans="1:9" x14ac:dyDescent="0.3">
      <c r="A40" t="s">
        <v>1</v>
      </c>
      <c r="B40" t="s">
        <v>0</v>
      </c>
    </row>
    <row r="41" spans="1:9" x14ac:dyDescent="0.3">
      <c r="A41" s="2"/>
      <c r="E41" s="2"/>
      <c r="H41" s="1"/>
    </row>
  </sheetData>
  <mergeCells count="2">
    <mergeCell ref="C5:G5"/>
    <mergeCell ref="C9:F9"/>
  </mergeCells>
  <conditionalFormatting sqref="F1:F1048576 H1:H1048576">
    <cfRule type="duplicateValues" dxfId="1" priority="1"/>
    <cfRule type="duplicateValues" dxfId="0" priority="2"/>
  </conditionalFormatting>
  <pageMargins left="1.8897637795275593" right="0.70866141732283472" top="0.74803149606299213" bottom="0.74803149606299213" header="0.31496062992125984" footer="0.31496062992125984"/>
  <pageSetup paperSize="5" scale="82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SOA</vt:lpstr>
      <vt:lpstr>SOA!Print_Area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Marlou</dc:creator>
  <cp:lastModifiedBy>Marlou</cp:lastModifiedBy>
  <dcterms:created xsi:type="dcterms:W3CDTF">2025-11-18T10:26:01Z</dcterms:created>
  <dcterms:modified xsi:type="dcterms:W3CDTF">2025-11-18T10:26:44Z</dcterms:modified>
</cp:coreProperties>
</file>